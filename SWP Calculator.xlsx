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y Shukla\Desktop\"/>
    </mc:Choice>
  </mc:AlternateContent>
  <xr:revisionPtr revIDLastSave="0" documentId="13_ncr:1_{8D381B23-F5B8-4DDF-BE52-162FFC99B556}" xr6:coauthVersionLast="47" xr6:coauthVersionMax="47" xr10:uidLastSave="{00000000-0000-0000-0000-000000000000}"/>
  <bookViews>
    <workbookView xWindow="-108" yWindow="-108" windowWidth="23256" windowHeight="12456" xr2:uid="{D90B5819-2CFA-4152-83A8-57B07FE4C1F9}"/>
  </bookViews>
  <sheets>
    <sheet name="SWP Calculator" sheetId="2" r:id="rId1"/>
    <sheet name="Fund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1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" i="2"/>
  <c r="J9" i="2"/>
  <c r="I9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" i="2"/>
  <c r="B12" i="2" l="1"/>
  <c r="C12" i="2" s="1"/>
  <c r="B13" i="2"/>
  <c r="B14" i="2"/>
  <c r="C14" i="2" s="1"/>
  <c r="B15" i="2"/>
  <c r="B16" i="2"/>
  <c r="C16" i="2" s="1"/>
  <c r="B17" i="2"/>
  <c r="C17" i="2" s="1"/>
  <c r="B18" i="2"/>
  <c r="J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B26" i="2"/>
  <c r="B27" i="2"/>
  <c r="B28" i="2"/>
  <c r="C28" i="2" s="1"/>
  <c r="B29" i="2"/>
  <c r="C29" i="2" s="1"/>
  <c r="B30" i="2"/>
  <c r="J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B38" i="2"/>
  <c r="C38" i="2" s="1"/>
  <c r="B39" i="2"/>
  <c r="B40" i="2"/>
  <c r="C40" i="2" s="1"/>
  <c r="B41" i="2"/>
  <c r="C41" i="2" s="1"/>
  <c r="B42" i="2"/>
  <c r="J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B50" i="2"/>
  <c r="C50" i="2" s="1"/>
  <c r="B51" i="2"/>
  <c r="B52" i="2"/>
  <c r="C52" i="2" s="1"/>
  <c r="B53" i="2"/>
  <c r="C53" i="2" s="1"/>
  <c r="B54" i="2"/>
  <c r="J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B62" i="2"/>
  <c r="C62" i="2" s="1"/>
  <c r="B63" i="2"/>
  <c r="B64" i="2"/>
  <c r="C64" i="2" s="1"/>
  <c r="B65" i="2"/>
  <c r="C65" i="2" s="1"/>
  <c r="B66" i="2"/>
  <c r="J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B74" i="2"/>
  <c r="C74" i="2" s="1"/>
  <c r="B75" i="2"/>
  <c r="B76" i="2"/>
  <c r="C76" i="2" s="1"/>
  <c r="B77" i="2"/>
  <c r="C77" i="2" s="1"/>
  <c r="B78" i="2"/>
  <c r="J78" i="2" s="1"/>
  <c r="B79" i="2"/>
  <c r="C79" i="2" s="1"/>
  <c r="B80" i="2"/>
  <c r="B81" i="2"/>
  <c r="C81" i="2" s="1"/>
  <c r="B82" i="2"/>
  <c r="B83" i="2"/>
  <c r="C83" i="2" s="1"/>
  <c r="B84" i="2"/>
  <c r="C84" i="2" s="1"/>
  <c r="B85" i="2"/>
  <c r="B86" i="2"/>
  <c r="C86" i="2" s="1"/>
  <c r="B87" i="2"/>
  <c r="B88" i="2"/>
  <c r="B89" i="2"/>
  <c r="C89" i="2" s="1"/>
  <c r="B90" i="2"/>
  <c r="J90" i="2" s="1"/>
  <c r="B91" i="2"/>
  <c r="C91" i="2" s="1"/>
  <c r="B92" i="2"/>
  <c r="B93" i="2"/>
  <c r="C93" i="2" s="1"/>
  <c r="B94" i="2"/>
  <c r="B95" i="2"/>
  <c r="B96" i="2"/>
  <c r="C96" i="2" s="1"/>
  <c r="B97" i="2"/>
  <c r="B98" i="2"/>
  <c r="C98" i="2"/>
  <c r="B99" i="2"/>
  <c r="B100" i="2"/>
  <c r="B101" i="2"/>
  <c r="C101" i="2" s="1"/>
  <c r="B102" i="2"/>
  <c r="J102" i="2" s="1"/>
  <c r="B103" i="2"/>
  <c r="C103" i="2" s="1"/>
  <c r="B104" i="2"/>
  <c r="G104" i="2" s="1"/>
  <c r="B105" i="2"/>
  <c r="C105" i="2" s="1"/>
  <c r="B11" i="2"/>
  <c r="B10" i="2"/>
  <c r="C10" i="2" s="1"/>
  <c r="C5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C4" i="2" a="1"/>
  <c r="C4" i="2" s="1"/>
  <c r="K104" i="2" l="1"/>
  <c r="H104" i="2"/>
  <c r="J101" i="2"/>
  <c r="J95" i="2"/>
  <c r="J89" i="2"/>
  <c r="J83" i="2"/>
  <c r="J77" i="2"/>
  <c r="J71" i="2"/>
  <c r="J65" i="2"/>
  <c r="J59" i="2"/>
  <c r="J53" i="2"/>
  <c r="J47" i="2"/>
  <c r="J41" i="2"/>
  <c r="J35" i="2"/>
  <c r="J29" i="2"/>
  <c r="J23" i="2"/>
  <c r="J17" i="2"/>
  <c r="K105" i="2"/>
  <c r="H105" i="2"/>
  <c r="J100" i="2"/>
  <c r="J94" i="2"/>
  <c r="J88" i="2"/>
  <c r="J82" i="2"/>
  <c r="J76" i="2"/>
  <c r="J70" i="2"/>
  <c r="J64" i="2"/>
  <c r="J58" i="2"/>
  <c r="J52" i="2"/>
  <c r="J46" i="2"/>
  <c r="J40" i="2"/>
  <c r="J34" i="2"/>
  <c r="J28" i="2"/>
  <c r="J22" i="2"/>
  <c r="J16" i="2"/>
  <c r="J11" i="2"/>
  <c r="J105" i="2"/>
  <c r="J99" i="2"/>
  <c r="J93" i="2"/>
  <c r="J87" i="2"/>
  <c r="J81" i="2"/>
  <c r="J75" i="2"/>
  <c r="J69" i="2"/>
  <c r="J63" i="2"/>
  <c r="J57" i="2"/>
  <c r="J51" i="2"/>
  <c r="J45" i="2"/>
  <c r="J39" i="2"/>
  <c r="J33" i="2"/>
  <c r="J27" i="2"/>
  <c r="J21" i="2"/>
  <c r="J15" i="2"/>
  <c r="I105" i="2"/>
  <c r="C26" i="2"/>
  <c r="J104" i="2"/>
  <c r="J98" i="2"/>
  <c r="J92" i="2"/>
  <c r="J86" i="2"/>
  <c r="J80" i="2"/>
  <c r="J74" i="2"/>
  <c r="J68" i="2"/>
  <c r="J62" i="2"/>
  <c r="J56" i="2"/>
  <c r="J50" i="2"/>
  <c r="J44" i="2"/>
  <c r="J38" i="2"/>
  <c r="J32" i="2"/>
  <c r="J26" i="2"/>
  <c r="J20" i="2"/>
  <c r="J14" i="2"/>
  <c r="I104" i="2"/>
  <c r="J103" i="2"/>
  <c r="J97" i="2"/>
  <c r="J91" i="2"/>
  <c r="J85" i="2"/>
  <c r="J79" i="2"/>
  <c r="J73" i="2"/>
  <c r="J67" i="2"/>
  <c r="J61" i="2"/>
  <c r="J55" i="2"/>
  <c r="J49" i="2"/>
  <c r="J43" i="2"/>
  <c r="J37" i="2"/>
  <c r="J31" i="2"/>
  <c r="J25" i="2"/>
  <c r="J19" i="2"/>
  <c r="J13" i="2"/>
  <c r="C11" i="2"/>
  <c r="F105" i="2"/>
  <c r="C95" i="2"/>
  <c r="J96" i="2"/>
  <c r="J84" i="2"/>
  <c r="J72" i="2"/>
  <c r="J60" i="2"/>
  <c r="J48" i="2"/>
  <c r="J36" i="2"/>
  <c r="J24" i="2"/>
  <c r="J12" i="2"/>
  <c r="C82" i="2"/>
  <c r="C100" i="2"/>
  <c r="C94" i="2"/>
  <c r="C88" i="2"/>
  <c r="E105" i="2"/>
  <c r="F104" i="2"/>
  <c r="E104" i="2"/>
  <c r="D104" i="2"/>
  <c r="C104" i="2"/>
  <c r="C92" i="2"/>
  <c r="C80" i="2"/>
  <c r="D10" i="2"/>
  <c r="G10" i="2" s="1"/>
  <c r="C99" i="2"/>
  <c r="C87" i="2"/>
  <c r="C75" i="2"/>
  <c r="C63" i="2"/>
  <c r="C51" i="2"/>
  <c r="C39" i="2"/>
  <c r="C27" i="2"/>
  <c r="C15" i="2"/>
  <c r="G105" i="2"/>
  <c r="C97" i="2"/>
  <c r="C85" i="2"/>
  <c r="C73" i="2"/>
  <c r="C61" i="2"/>
  <c r="C49" i="2"/>
  <c r="C37" i="2"/>
  <c r="C25" i="2"/>
  <c r="C13" i="2"/>
  <c r="C102" i="2"/>
  <c r="C90" i="2"/>
  <c r="C78" i="2"/>
  <c r="C66" i="2"/>
  <c r="C54" i="2"/>
  <c r="C42" i="2"/>
  <c r="C30" i="2"/>
  <c r="C18" i="2"/>
  <c r="D105" i="2"/>
  <c r="E10" i="2" l="1"/>
  <c r="F10" i="2" l="1"/>
  <c r="D11" i="2" l="1"/>
  <c r="G11" i="2" l="1"/>
  <c r="E11" i="2"/>
  <c r="F11" i="2" l="1"/>
  <c r="D12" i="2" l="1"/>
  <c r="G12" i="2" l="1"/>
  <c r="E12" i="2"/>
  <c r="F12" i="2" l="1"/>
  <c r="D13" i="2" l="1"/>
  <c r="G13" i="2" l="1"/>
  <c r="E13" i="2"/>
  <c r="F13" i="2" l="1"/>
  <c r="D14" i="2" l="1"/>
  <c r="G14" i="2" l="1"/>
  <c r="E14" i="2"/>
  <c r="F14" i="2" l="1"/>
  <c r="D15" i="2" l="1"/>
  <c r="G15" i="2" l="1"/>
  <c r="E15" i="2"/>
  <c r="F15" i="2" l="1"/>
  <c r="D16" i="2" l="1"/>
  <c r="G16" i="2" l="1"/>
  <c r="E16" i="2"/>
  <c r="F16" i="2" l="1"/>
  <c r="D17" i="2" l="1"/>
  <c r="G17" i="2" l="1"/>
  <c r="E17" i="2"/>
  <c r="F17" i="2" l="1"/>
  <c r="D18" i="2" l="1"/>
  <c r="G18" i="2" l="1"/>
  <c r="E18" i="2"/>
  <c r="F18" i="2" l="1"/>
  <c r="D19" i="2" l="1"/>
  <c r="G19" i="2" l="1"/>
  <c r="E19" i="2"/>
  <c r="F19" i="2" l="1"/>
  <c r="D20" i="2" l="1"/>
  <c r="G20" i="2" l="1"/>
  <c r="E20" i="2"/>
  <c r="F20" i="2" l="1"/>
  <c r="D21" i="2" l="1"/>
  <c r="G21" i="2" l="1"/>
  <c r="E21" i="2"/>
  <c r="F21" i="2" l="1"/>
  <c r="D22" i="2" l="1"/>
  <c r="G22" i="2" l="1"/>
  <c r="E22" i="2"/>
  <c r="F22" i="2" l="1"/>
  <c r="D23" i="2" l="1"/>
  <c r="G23" i="2" l="1"/>
  <c r="E23" i="2"/>
  <c r="F23" i="2" l="1"/>
  <c r="D24" i="2" l="1"/>
  <c r="G24" i="2" l="1"/>
  <c r="E24" i="2"/>
  <c r="F24" i="2" l="1"/>
  <c r="D25" i="2" l="1"/>
  <c r="G25" i="2" l="1"/>
  <c r="E25" i="2"/>
  <c r="F25" i="2" l="1"/>
  <c r="D26" i="2" l="1"/>
  <c r="G26" i="2" l="1"/>
  <c r="E26" i="2"/>
  <c r="F26" i="2" l="1"/>
  <c r="D27" i="2" l="1"/>
  <c r="G27" i="2" l="1"/>
  <c r="E27" i="2"/>
  <c r="F27" i="2" l="1"/>
  <c r="D28" i="2" l="1"/>
  <c r="G28" i="2" l="1"/>
  <c r="E28" i="2"/>
  <c r="F28" i="2" l="1"/>
  <c r="D29" i="2" l="1"/>
  <c r="G29" i="2" l="1"/>
  <c r="E29" i="2"/>
  <c r="F29" i="2" l="1"/>
  <c r="D30" i="2" l="1"/>
  <c r="G30" i="2" l="1"/>
  <c r="E30" i="2"/>
  <c r="F30" i="2" l="1"/>
  <c r="D31" i="2" l="1"/>
  <c r="G31" i="2" l="1"/>
  <c r="E31" i="2"/>
  <c r="F31" i="2" l="1"/>
  <c r="D32" i="2" l="1"/>
  <c r="G32" i="2" l="1"/>
  <c r="E32" i="2"/>
  <c r="F32" i="2" l="1"/>
  <c r="D33" i="2" l="1"/>
  <c r="G33" i="2" l="1"/>
  <c r="E33" i="2"/>
  <c r="F33" i="2" l="1"/>
  <c r="D34" i="2" l="1"/>
  <c r="G34" i="2" l="1"/>
  <c r="E34" i="2"/>
  <c r="F34" i="2" l="1"/>
  <c r="D35" i="2" l="1"/>
  <c r="G35" i="2" l="1"/>
  <c r="E35" i="2"/>
  <c r="F35" i="2" l="1"/>
  <c r="D36" i="2" l="1"/>
  <c r="G36" i="2" l="1"/>
  <c r="E36" i="2"/>
  <c r="F36" i="2" l="1"/>
  <c r="D37" i="2" l="1"/>
  <c r="G37" i="2" l="1"/>
  <c r="E37" i="2"/>
  <c r="F37" i="2" l="1"/>
  <c r="D38" i="2" l="1"/>
  <c r="G38" i="2" l="1"/>
  <c r="E38" i="2"/>
  <c r="F38" i="2" l="1"/>
  <c r="D39" i="2" l="1"/>
  <c r="G39" i="2" l="1"/>
  <c r="E39" i="2"/>
  <c r="F39" i="2" l="1"/>
  <c r="D40" i="2" l="1"/>
  <c r="G40" i="2" l="1"/>
  <c r="E40" i="2"/>
  <c r="F40" i="2" l="1"/>
  <c r="D41" i="2" l="1"/>
  <c r="G41" i="2" l="1"/>
  <c r="E41" i="2"/>
  <c r="F41" i="2" l="1"/>
  <c r="D42" i="2" l="1"/>
  <c r="G42" i="2" l="1"/>
  <c r="E42" i="2"/>
  <c r="F42" i="2" l="1"/>
  <c r="D43" i="2" l="1"/>
  <c r="G43" i="2" l="1"/>
  <c r="E43" i="2"/>
  <c r="F43" i="2" l="1"/>
  <c r="D44" i="2" l="1"/>
  <c r="G44" i="2" l="1"/>
  <c r="E44" i="2"/>
  <c r="F44" i="2" l="1"/>
  <c r="D45" i="2" l="1"/>
  <c r="G45" i="2" l="1"/>
  <c r="E45" i="2"/>
  <c r="F45" i="2" l="1"/>
  <c r="D46" i="2" l="1"/>
  <c r="G46" i="2" l="1"/>
  <c r="E46" i="2"/>
  <c r="F46" i="2" l="1"/>
  <c r="D47" i="2" l="1"/>
  <c r="G47" i="2" l="1"/>
  <c r="E47" i="2"/>
  <c r="F47" i="2" l="1"/>
  <c r="D48" i="2" l="1"/>
  <c r="G48" i="2" l="1"/>
  <c r="E48" i="2"/>
  <c r="F48" i="2" l="1"/>
  <c r="D49" i="2" l="1"/>
  <c r="G49" i="2" l="1"/>
  <c r="E49" i="2"/>
  <c r="F49" i="2" l="1"/>
  <c r="D50" i="2" l="1"/>
  <c r="G50" i="2" l="1"/>
  <c r="E50" i="2"/>
  <c r="F50" i="2" l="1"/>
  <c r="D51" i="2" l="1"/>
  <c r="G51" i="2" l="1"/>
  <c r="E51" i="2"/>
  <c r="F51" i="2" l="1"/>
  <c r="D52" i="2" l="1"/>
  <c r="G52" i="2" l="1"/>
  <c r="E52" i="2"/>
  <c r="F52" i="2" l="1"/>
  <c r="D53" i="2" l="1"/>
  <c r="G53" i="2" l="1"/>
  <c r="E53" i="2"/>
  <c r="F53" i="2" l="1"/>
  <c r="D54" i="2" l="1"/>
  <c r="G54" i="2" l="1"/>
  <c r="E54" i="2"/>
  <c r="F54" i="2" l="1"/>
  <c r="D55" i="2" l="1"/>
  <c r="G55" i="2" l="1"/>
  <c r="E55" i="2"/>
  <c r="F55" i="2" l="1"/>
  <c r="D56" i="2" l="1"/>
  <c r="G56" i="2" l="1"/>
  <c r="E56" i="2"/>
  <c r="F56" i="2" l="1"/>
  <c r="D57" i="2" l="1"/>
  <c r="G57" i="2" l="1"/>
  <c r="E57" i="2"/>
  <c r="F57" i="2" l="1"/>
  <c r="D58" i="2" l="1"/>
  <c r="G58" i="2" l="1"/>
  <c r="E58" i="2"/>
  <c r="F58" i="2" l="1"/>
  <c r="D59" i="2" l="1"/>
  <c r="G59" i="2" l="1"/>
  <c r="E59" i="2"/>
  <c r="F59" i="2" l="1"/>
  <c r="D60" i="2" l="1"/>
  <c r="G60" i="2" l="1"/>
  <c r="E60" i="2"/>
  <c r="F60" i="2" l="1"/>
  <c r="D61" i="2" l="1"/>
  <c r="G61" i="2" l="1"/>
  <c r="E61" i="2"/>
  <c r="F61" i="2" l="1"/>
  <c r="D62" i="2" l="1"/>
  <c r="G62" i="2" l="1"/>
  <c r="E62" i="2"/>
  <c r="F62" i="2" l="1"/>
  <c r="D63" i="2" l="1"/>
  <c r="G63" i="2" l="1"/>
  <c r="E63" i="2"/>
  <c r="F63" i="2" l="1"/>
  <c r="D64" i="2" l="1"/>
  <c r="G64" i="2" l="1"/>
  <c r="E64" i="2"/>
  <c r="F64" i="2" l="1"/>
  <c r="D65" i="2" l="1"/>
  <c r="G65" i="2" l="1"/>
  <c r="E65" i="2"/>
  <c r="F65" i="2" l="1"/>
  <c r="D66" i="2" l="1"/>
  <c r="G66" i="2" l="1"/>
  <c r="E66" i="2"/>
  <c r="F66" i="2" l="1"/>
  <c r="D67" i="2" l="1"/>
  <c r="G67" i="2" l="1"/>
  <c r="E67" i="2"/>
  <c r="F67" i="2" l="1"/>
  <c r="D68" i="2" l="1"/>
  <c r="G68" i="2" l="1"/>
  <c r="E68" i="2"/>
  <c r="F68" i="2" l="1"/>
  <c r="D69" i="2" l="1"/>
  <c r="G69" i="2" l="1"/>
  <c r="E69" i="2"/>
  <c r="F69" i="2" l="1"/>
  <c r="D70" i="2" l="1"/>
  <c r="G70" i="2" l="1"/>
  <c r="E70" i="2"/>
  <c r="F70" i="2" l="1"/>
  <c r="D71" i="2" l="1"/>
  <c r="G71" i="2" l="1"/>
  <c r="E71" i="2"/>
  <c r="F71" i="2" l="1"/>
  <c r="D72" i="2" l="1"/>
  <c r="G72" i="2" l="1"/>
  <c r="E72" i="2"/>
  <c r="F72" i="2" l="1"/>
  <c r="D73" i="2" s="1"/>
  <c r="G73" i="2" s="1"/>
  <c r="E73" i="2" l="1"/>
  <c r="F73" i="2" l="1"/>
  <c r="D74" i="2" l="1"/>
  <c r="G74" i="2" l="1"/>
  <c r="E74" i="2"/>
  <c r="F74" i="2" l="1"/>
  <c r="D75" i="2" l="1"/>
  <c r="G75" i="2" l="1"/>
  <c r="E75" i="2"/>
  <c r="F75" i="2" l="1"/>
  <c r="D76" i="2" l="1"/>
  <c r="G76" i="2" l="1"/>
  <c r="E76" i="2"/>
  <c r="F76" i="2" l="1"/>
  <c r="D77" i="2" l="1"/>
  <c r="G77" i="2" l="1"/>
  <c r="E77" i="2"/>
  <c r="F77" i="2" l="1"/>
  <c r="D78" i="2" l="1"/>
  <c r="G78" i="2" l="1"/>
  <c r="E78" i="2"/>
  <c r="F78" i="2" l="1"/>
  <c r="D79" i="2" l="1"/>
  <c r="G79" i="2" l="1"/>
  <c r="E79" i="2"/>
  <c r="F79" i="2" l="1"/>
  <c r="D80" i="2" l="1"/>
  <c r="G80" i="2" l="1"/>
  <c r="E80" i="2"/>
  <c r="F80" i="2" l="1"/>
  <c r="D81" i="2" l="1"/>
  <c r="G81" i="2" l="1"/>
  <c r="E81" i="2"/>
  <c r="F81" i="2" l="1"/>
  <c r="D82" i="2" l="1"/>
  <c r="G82" i="2" l="1"/>
  <c r="E82" i="2"/>
  <c r="F82" i="2" l="1"/>
  <c r="D83" i="2" l="1"/>
  <c r="G83" i="2" l="1"/>
  <c r="E83" i="2"/>
  <c r="F83" i="2" l="1"/>
  <c r="D84" i="2" l="1"/>
  <c r="G84" i="2" l="1"/>
  <c r="E84" i="2"/>
  <c r="F84" i="2" l="1"/>
  <c r="D85" i="2" l="1"/>
  <c r="G85" i="2" l="1"/>
  <c r="E85" i="2"/>
  <c r="F85" i="2" l="1"/>
  <c r="D86" i="2" s="1"/>
  <c r="G86" i="2" s="1"/>
  <c r="E86" i="2"/>
  <c r="F86" i="2" l="1"/>
  <c r="D87" i="2" s="1"/>
  <c r="G87" i="2" s="1"/>
  <c r="E87" i="2" l="1"/>
  <c r="F87" i="2" l="1"/>
  <c r="D88" i="2" l="1"/>
  <c r="G88" i="2" l="1"/>
  <c r="E88" i="2"/>
  <c r="F88" i="2" l="1"/>
  <c r="D89" i="2" s="1"/>
  <c r="G89" i="2" s="1"/>
  <c r="E89" i="2" l="1"/>
  <c r="F89" i="2" l="1"/>
  <c r="D90" i="2" l="1"/>
  <c r="G90" i="2" l="1"/>
  <c r="E90" i="2"/>
  <c r="F90" i="2" l="1"/>
  <c r="D91" i="2" s="1"/>
  <c r="G91" i="2" s="1"/>
  <c r="E91" i="2"/>
  <c r="F91" i="2" l="1"/>
  <c r="D92" i="2" s="1"/>
  <c r="G92" i="2" s="1"/>
  <c r="E92" i="2" l="1"/>
  <c r="F92" i="2" l="1"/>
  <c r="D93" i="2" l="1"/>
  <c r="G93" i="2" l="1"/>
  <c r="E93" i="2"/>
  <c r="F93" i="2" l="1"/>
  <c r="D94" i="2" l="1"/>
  <c r="G94" i="2" l="1"/>
  <c r="E94" i="2"/>
  <c r="F94" i="2" l="1"/>
  <c r="D95" i="2" s="1"/>
  <c r="G95" i="2" s="1"/>
  <c r="E95" i="2" l="1"/>
  <c r="F95" i="2" l="1"/>
  <c r="D96" i="2" l="1"/>
  <c r="G96" i="2" l="1"/>
  <c r="E96" i="2"/>
  <c r="F96" i="2" l="1"/>
  <c r="D97" i="2" l="1"/>
  <c r="G97" i="2" l="1"/>
  <c r="E97" i="2"/>
  <c r="F97" i="2" l="1"/>
  <c r="D98" i="2" l="1"/>
  <c r="G98" i="2" l="1"/>
  <c r="E98" i="2"/>
  <c r="F98" i="2" l="1"/>
  <c r="D99" i="2" l="1"/>
  <c r="G99" i="2" l="1"/>
  <c r="E99" i="2"/>
  <c r="F99" i="2" l="1"/>
  <c r="D100" i="2" l="1"/>
  <c r="G100" i="2" l="1"/>
  <c r="E100" i="2"/>
  <c r="F100" i="2" l="1"/>
  <c r="D101" i="2" s="1"/>
  <c r="G101" i="2" s="1"/>
  <c r="E101" i="2"/>
  <c r="F101" i="2" l="1"/>
  <c r="D102" i="2" s="1"/>
  <c r="G102" i="2" s="1"/>
  <c r="E102" i="2" l="1"/>
  <c r="F102" i="2" l="1"/>
  <c r="D103" i="2" l="1"/>
  <c r="G103" i="2" l="1"/>
  <c r="E103" i="2"/>
  <c r="F103" i="2" s="1"/>
  <c r="G4" i="2" s="1" a="1"/>
  <c r="G4" i="2" s="1"/>
  <c r="G6" i="2" l="1" a="1"/>
  <c r="G6" i="2" s="1"/>
  <c r="G3" i="2"/>
  <c r="G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<sst xmlns="http://schemas.openxmlformats.org/spreadsheetml/2006/main" count="22" uniqueCount="22">
  <si>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Date</t>
  </si>
  <si>
    <t>Investment Date</t>
  </si>
  <si>
    <t>Latest NAV Date</t>
  </si>
  <si>
    <t>Total Withdrawn</t>
  </si>
  <si>
    <t>NAV</t>
  </si>
  <si>
    <t>Units Purchased at Start</t>
  </si>
  <si>
    <t>Withdrawal Date</t>
  </si>
  <si>
    <t>NAV on Date</t>
  </si>
  <si>
    <t>Units Redeemed</t>
  </si>
  <si>
    <t>Units Remaining</t>
  </si>
  <si>
    <t>SWP CALCULATOR</t>
  </si>
  <si>
    <t xml:space="preserve">Portfolio Value </t>
  </si>
  <si>
    <t xml:space="preserve">Annual Withdrawal </t>
  </si>
  <si>
    <t xml:space="preserve">Month </t>
  </si>
  <si>
    <t xml:space="preserve">Initial Investment </t>
  </si>
  <si>
    <t>Amount Withdrawn</t>
  </si>
  <si>
    <t>SWP Start Date</t>
  </si>
  <si>
    <t>Current Portfolio Value</t>
  </si>
  <si>
    <t>Net Gain / Loss</t>
  </si>
  <si>
    <t>XIRR (Annualised)</t>
  </si>
  <si>
    <t>Cash Flow+PV</t>
  </si>
  <si>
    <t xml:space="preserve">XIRR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</si>
</sst>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\₹#,##0"/>
    <numFmt numFmtId="171" formatCode="0.0000"/>
    <numFmt numFmtId="173" formatCode="dd/mmm/yyyy"/>
    <numFmt numFmtId="174" formatCode="\₹#,##0.00"/>
  </numFmts>
  <fonts count="14" x14ac:knownFonts="1">
    <font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9.5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000000"/>
      <name val="Aptos Narrow"/>
      <scheme val="minor"/>
    </font>
    <font>
      <sz val="9.5"/>
      <color rgb="FF000000"/>
      <name val="Aptos Narrow"/>
      <scheme val="minor"/>
    </font>
    <font>
      <b/>
      <sz val="10"/>
      <color rgb="FFFFFFFF"/>
      <name val="Aptos Narrow"/>
      <scheme val="minor"/>
    </font>
    <font>
      <b/>
      <sz val="10"/>
      <color rgb="FF0000FF"/>
      <name val="Aptos Narrow"/>
      <scheme val="minor"/>
    </font>
    <font>
      <b/>
      <sz val="10"/>
      <color rgb="FFAAAAAA"/>
      <name val="Aptos Narrow"/>
      <scheme val="minor"/>
    </font>
    <font>
      <sz val="11"/>
      <color rgb="FFAAAAAA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73" fontId="0" fillId="0" borderId="0" xfId="0" applyNumberFormat="1"/>
    <xf numFmtId="0" fontId="3" fillId="3" borderId="0" xfId="0" applyFont="1" applyFill="1" applyAlignment="1">
      <alignment horizontal="center"/>
    </xf>
    <xf numFmtId="173" fontId="4" fillId="5" borderId="0" xfId="0" applyNumberFormat="1" applyFont="1" applyFill="1" applyAlignment="1">
      <alignment horizontal="left"/>
    </xf>
    <xf numFmtId="4" fontId="4" fillId="5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174" fontId="0" fillId="0" borderId="0" xfId="0" applyNumberFormat="1"/>
    <xf numFmtId="0" fontId="5" fillId="4" borderId="0" xfId="0" applyFont="1" applyFill="1" applyAlignment="1">
      <alignment horizontal="center" wrapText="1"/>
    </xf>
    <xf numFmtId="1" fontId="6" fillId="2" borderId="0" xfId="0" applyNumberFormat="1" applyFont="1" applyFill="1" applyAlignment="1">
      <alignment horizontal="center"/>
    </xf>
    <xf numFmtId="171" fontId="6" fillId="2" borderId="0" xfId="0" applyNumberFormat="1" applyFont="1" applyFill="1" applyAlignment="1">
      <alignment horizontal="right"/>
    </xf>
    <xf numFmtId="174" fontId="6" fillId="2" borderId="0" xfId="0" applyNumberFormat="1" applyFont="1" applyFill="1" applyAlignment="1">
      <alignment horizontal="right"/>
    </xf>
    <xf numFmtId="173" fontId="4" fillId="2" borderId="0" xfId="0" applyNumberFormat="1" applyFont="1" applyFill="1" applyAlignment="1">
      <alignment horizontal="left"/>
    </xf>
    <xf numFmtId="4" fontId="4" fillId="2" borderId="0" xfId="0" applyNumberFormat="1" applyFont="1" applyFill="1" applyAlignment="1">
      <alignment horizontal="right"/>
    </xf>
    <xf numFmtId="173" fontId="4" fillId="7" borderId="0" xfId="0" applyNumberFormat="1" applyFont="1" applyFill="1"/>
    <xf numFmtId="171" fontId="4" fillId="7" borderId="0" xfId="0" applyNumberFormat="1" applyFont="1" applyFill="1"/>
    <xf numFmtId="169" fontId="7" fillId="7" borderId="0" xfId="0" applyNumberFormat="1" applyFont="1" applyFill="1"/>
    <xf numFmtId="10" fontId="7" fillId="7" borderId="0" xfId="0" applyNumberFormat="1" applyFont="1" applyFill="1"/>
    <xf numFmtId="0" fontId="7" fillId="6" borderId="0" xfId="0" applyFont="1" applyFill="1"/>
    <xf numFmtId="0" fontId="8" fillId="6" borderId="0" xfId="0" applyFont="1" applyFill="1"/>
    <xf numFmtId="173" fontId="9" fillId="2" borderId="0" xfId="0" applyNumberFormat="1" applyFont="1" applyFill="1" applyAlignment="1">
      <alignment horizontal="left"/>
    </xf>
    <xf numFmtId="4" fontId="9" fillId="2" borderId="0" xfId="0" applyNumberFormat="1" applyFont="1" applyFill="1" applyAlignment="1">
      <alignment horizontal="right"/>
    </xf>
    <xf numFmtId="171" fontId="9" fillId="2" borderId="0" xfId="0" applyNumberFormat="1" applyFont="1" applyFill="1" applyAlignment="1">
      <alignment horizontal="right"/>
    </xf>
    <xf numFmtId="0" fontId="10" fillId="4" borderId="0" xfId="0" applyFont="1" applyFill="1" applyAlignment="1">
      <alignment horizontal="center" wrapText="1"/>
    </xf>
    <xf numFmtId="10" fontId="9" fillId="2" borderId="0" xfId="0" applyNumberFormat="1" applyFont="1" applyFill="1" applyAlignment="1">
      <alignment horizontal="right"/>
    </xf>
    <xf numFmtId="174" fontId="8" fillId="8" borderId="0" xfId="0" applyNumberFormat="1" applyFont="1" applyFill="1"/>
    <xf numFmtId="10" fontId="8" fillId="8" borderId="0" xfId="0" applyNumberFormat="1" applyFont="1" applyFill="1"/>
    <xf numFmtId="173" fontId="11" fillId="8" borderId="0" xfId="0" applyNumberFormat="1" applyFont="1" applyFill="1"/>
    <xf numFmtId="173" fontId="1" fillId="8" borderId="0" xfId="0" applyNumberFormat="1" applyFont="1" applyFill="1"/>
    <xf numFmtId="0" fontId="12" fillId="4" borderId="0" xfId="0" applyFont="1" applyFill="1" applyAlignment="1">
      <alignment horizontal="center" wrapText="1"/>
    </xf>
    <xf numFmtId="0" fontId="13" fillId="0" borderId="0" xfId="0" applyFont="1"/>
    <xf numFmtId="173" fontId="13" fillId="0" borderId="0" xfId="0" applyNumberFormat="1" applyFont="1"/>
  </cellXfs>
  <cellStyles count="1">
    <cellStyle name="Normal" xfId="0" builtinId="0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'Fund Data'!$B$1</c:f>
              <c:strCache>
                <c:ptCount val="1"/>
                <c:pt idx="0">
                  <c:v>NAV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'Fund Data'!$A$2:$A$1971</c:f>
              <c:numCache>
                <c:formatCode>dd/mmm/yyyy</c:formatCode>
                <c:ptCount val="1970"/>
                <c:pt idx="0">
                  <c:v>43207</c:v>
                </c:pt>
                <c:pt idx="1">
                  <c:v>43208</c:v>
                </c:pt>
                <c:pt idx="2">
                  <c:v>43209</c:v>
                </c:pt>
                <c:pt idx="3">
                  <c:v>43210</c:v>
                </c:pt>
                <c:pt idx="4">
                  <c:v>43213</c:v>
                </c:pt>
                <c:pt idx="5">
                  <c:v>43214</c:v>
                </c:pt>
                <c:pt idx="6">
                  <c:v>43215</c:v>
                </c:pt>
                <c:pt idx="7">
                  <c:v>43216</c:v>
                </c:pt>
                <c:pt idx="8">
                  <c:v>43217</c:v>
                </c:pt>
                <c:pt idx="9">
                  <c:v>43220</c:v>
                </c:pt>
                <c:pt idx="10">
                  <c:v>43222</c:v>
                </c:pt>
                <c:pt idx="11">
                  <c:v>43223</c:v>
                </c:pt>
                <c:pt idx="12">
                  <c:v>43224</c:v>
                </c:pt>
                <c:pt idx="13">
                  <c:v>43227</c:v>
                </c:pt>
                <c:pt idx="14">
                  <c:v>43228</c:v>
                </c:pt>
                <c:pt idx="15">
                  <c:v>43229</c:v>
                </c:pt>
                <c:pt idx="16">
                  <c:v>43230</c:v>
                </c:pt>
                <c:pt idx="17">
                  <c:v>43231</c:v>
                </c:pt>
                <c:pt idx="18">
                  <c:v>43234</c:v>
                </c:pt>
                <c:pt idx="19">
                  <c:v>43235</c:v>
                </c:pt>
                <c:pt idx="20">
                  <c:v>43236</c:v>
                </c:pt>
                <c:pt idx="21">
                  <c:v>43237</c:v>
                </c:pt>
                <c:pt idx="22">
                  <c:v>43238</c:v>
                </c:pt>
                <c:pt idx="23">
                  <c:v>43241</c:v>
                </c:pt>
                <c:pt idx="24">
                  <c:v>43242</c:v>
                </c:pt>
                <c:pt idx="25">
                  <c:v>43243</c:v>
                </c:pt>
                <c:pt idx="26">
                  <c:v>43244</c:v>
                </c:pt>
                <c:pt idx="27">
                  <c:v>43245</c:v>
                </c:pt>
                <c:pt idx="28">
                  <c:v>43248</c:v>
                </c:pt>
                <c:pt idx="29">
                  <c:v>43249</c:v>
                </c:pt>
                <c:pt idx="30">
                  <c:v>43250</c:v>
                </c:pt>
                <c:pt idx="31">
                  <c:v>43251</c:v>
                </c:pt>
                <c:pt idx="32">
                  <c:v>43252</c:v>
                </c:pt>
                <c:pt idx="33">
                  <c:v>43255</c:v>
                </c:pt>
                <c:pt idx="34">
                  <c:v>43256</c:v>
                </c:pt>
                <c:pt idx="35">
                  <c:v>43257</c:v>
                </c:pt>
                <c:pt idx="36">
                  <c:v>43258</c:v>
                </c:pt>
                <c:pt idx="37">
                  <c:v>43259</c:v>
                </c:pt>
                <c:pt idx="38">
                  <c:v>43262</c:v>
                </c:pt>
                <c:pt idx="39">
                  <c:v>43263</c:v>
                </c:pt>
                <c:pt idx="40">
                  <c:v>43264</c:v>
                </c:pt>
                <c:pt idx="41">
                  <c:v>43265</c:v>
                </c:pt>
                <c:pt idx="42">
                  <c:v>43266</c:v>
                </c:pt>
                <c:pt idx="43">
                  <c:v>43269</c:v>
                </c:pt>
                <c:pt idx="44">
                  <c:v>43270</c:v>
                </c:pt>
                <c:pt idx="45">
                  <c:v>43271</c:v>
                </c:pt>
                <c:pt idx="46">
                  <c:v>43272</c:v>
                </c:pt>
                <c:pt idx="47">
                  <c:v>43273</c:v>
                </c:pt>
                <c:pt idx="48">
                  <c:v>43276</c:v>
                </c:pt>
                <c:pt idx="49">
                  <c:v>43277</c:v>
                </c:pt>
                <c:pt idx="50">
                  <c:v>43278</c:v>
                </c:pt>
                <c:pt idx="51">
                  <c:v>43279</c:v>
                </c:pt>
                <c:pt idx="52">
                  <c:v>43280</c:v>
                </c:pt>
                <c:pt idx="53">
                  <c:v>43283</c:v>
                </c:pt>
                <c:pt idx="54">
                  <c:v>43284</c:v>
                </c:pt>
                <c:pt idx="55">
                  <c:v>43285</c:v>
                </c:pt>
                <c:pt idx="56">
                  <c:v>43286</c:v>
                </c:pt>
                <c:pt idx="57">
                  <c:v>43287</c:v>
                </c:pt>
                <c:pt idx="58">
                  <c:v>43290</c:v>
                </c:pt>
                <c:pt idx="59">
                  <c:v>43291</c:v>
                </c:pt>
                <c:pt idx="60">
                  <c:v>43292</c:v>
                </c:pt>
                <c:pt idx="61">
                  <c:v>43293</c:v>
                </c:pt>
                <c:pt idx="62">
                  <c:v>43294</c:v>
                </c:pt>
                <c:pt idx="63">
                  <c:v>43297</c:v>
                </c:pt>
                <c:pt idx="64">
                  <c:v>43298</c:v>
                </c:pt>
                <c:pt idx="65">
                  <c:v>43299</c:v>
                </c:pt>
                <c:pt idx="66">
                  <c:v>43300</c:v>
                </c:pt>
                <c:pt idx="67">
                  <c:v>43301</c:v>
                </c:pt>
                <c:pt idx="68">
                  <c:v>43304</c:v>
                </c:pt>
                <c:pt idx="69">
                  <c:v>43305</c:v>
                </c:pt>
                <c:pt idx="70">
                  <c:v>43306</c:v>
                </c:pt>
                <c:pt idx="71">
                  <c:v>43307</c:v>
                </c:pt>
                <c:pt idx="72">
                  <c:v>43308</c:v>
                </c:pt>
                <c:pt idx="73">
                  <c:v>43311</c:v>
                </c:pt>
                <c:pt idx="74">
                  <c:v>43312</c:v>
                </c:pt>
                <c:pt idx="75">
                  <c:v>43313</c:v>
                </c:pt>
                <c:pt idx="76">
                  <c:v>43314</c:v>
                </c:pt>
                <c:pt idx="77">
                  <c:v>43315</c:v>
                </c:pt>
                <c:pt idx="78">
                  <c:v>43318</c:v>
                </c:pt>
                <c:pt idx="79">
                  <c:v>43319</c:v>
                </c:pt>
                <c:pt idx="80">
                  <c:v>43320</c:v>
                </c:pt>
                <c:pt idx="81">
                  <c:v>43321</c:v>
                </c:pt>
                <c:pt idx="82">
                  <c:v>43322</c:v>
                </c:pt>
                <c:pt idx="83">
                  <c:v>43325</c:v>
                </c:pt>
                <c:pt idx="84">
                  <c:v>43326</c:v>
                </c:pt>
                <c:pt idx="85">
                  <c:v>43328</c:v>
                </c:pt>
                <c:pt idx="86">
                  <c:v>43329</c:v>
                </c:pt>
                <c:pt idx="87">
                  <c:v>43332</c:v>
                </c:pt>
                <c:pt idx="88">
                  <c:v>43333</c:v>
                </c:pt>
                <c:pt idx="89">
                  <c:v>43335</c:v>
                </c:pt>
                <c:pt idx="90">
                  <c:v>43336</c:v>
                </c:pt>
                <c:pt idx="91">
                  <c:v>43339</c:v>
                </c:pt>
                <c:pt idx="92">
                  <c:v>43340</c:v>
                </c:pt>
                <c:pt idx="93">
                  <c:v>43341</c:v>
                </c:pt>
                <c:pt idx="94">
                  <c:v>43342</c:v>
                </c:pt>
                <c:pt idx="95">
                  <c:v>43343</c:v>
                </c:pt>
                <c:pt idx="96">
                  <c:v>43346</c:v>
                </c:pt>
                <c:pt idx="97">
                  <c:v>43347</c:v>
                </c:pt>
                <c:pt idx="98">
                  <c:v>43348</c:v>
                </c:pt>
                <c:pt idx="99">
                  <c:v>43349</c:v>
                </c:pt>
                <c:pt idx="100">
                  <c:v>43350</c:v>
                </c:pt>
                <c:pt idx="101">
                  <c:v>43353</c:v>
                </c:pt>
                <c:pt idx="102">
                  <c:v>43354</c:v>
                </c:pt>
                <c:pt idx="103">
                  <c:v>43355</c:v>
                </c:pt>
                <c:pt idx="104">
                  <c:v>43357</c:v>
                </c:pt>
                <c:pt idx="105">
                  <c:v>43360</c:v>
                </c:pt>
                <c:pt idx="106">
                  <c:v>43361</c:v>
                </c:pt>
                <c:pt idx="107">
                  <c:v>43362</c:v>
                </c:pt>
                <c:pt idx="108">
                  <c:v>43364</c:v>
                </c:pt>
                <c:pt idx="109">
                  <c:v>43367</c:v>
                </c:pt>
                <c:pt idx="110">
                  <c:v>43368</c:v>
                </c:pt>
                <c:pt idx="111">
                  <c:v>43369</c:v>
                </c:pt>
                <c:pt idx="112">
                  <c:v>43370</c:v>
                </c:pt>
                <c:pt idx="113">
                  <c:v>43371</c:v>
                </c:pt>
                <c:pt idx="114">
                  <c:v>43374</c:v>
                </c:pt>
                <c:pt idx="115">
                  <c:v>43376</c:v>
                </c:pt>
                <c:pt idx="116">
                  <c:v>43377</c:v>
                </c:pt>
                <c:pt idx="117">
                  <c:v>43378</c:v>
                </c:pt>
                <c:pt idx="118">
                  <c:v>43381</c:v>
                </c:pt>
                <c:pt idx="119">
                  <c:v>43382</c:v>
                </c:pt>
                <c:pt idx="120">
                  <c:v>43383</c:v>
                </c:pt>
                <c:pt idx="121">
                  <c:v>43384</c:v>
                </c:pt>
                <c:pt idx="122">
                  <c:v>43385</c:v>
                </c:pt>
                <c:pt idx="123">
                  <c:v>43388</c:v>
                </c:pt>
                <c:pt idx="124">
                  <c:v>43389</c:v>
                </c:pt>
                <c:pt idx="125">
                  <c:v>43390</c:v>
                </c:pt>
                <c:pt idx="126">
                  <c:v>43392</c:v>
                </c:pt>
                <c:pt idx="127">
                  <c:v>43395</c:v>
                </c:pt>
                <c:pt idx="128">
                  <c:v>43396</c:v>
                </c:pt>
                <c:pt idx="129">
                  <c:v>43397</c:v>
                </c:pt>
                <c:pt idx="130">
                  <c:v>43398</c:v>
                </c:pt>
                <c:pt idx="131">
                  <c:v>43399</c:v>
                </c:pt>
                <c:pt idx="132">
                  <c:v>43402</c:v>
                </c:pt>
                <c:pt idx="133">
                  <c:v>43403</c:v>
                </c:pt>
                <c:pt idx="134">
                  <c:v>43404</c:v>
                </c:pt>
                <c:pt idx="135">
                  <c:v>43405</c:v>
                </c:pt>
                <c:pt idx="136">
                  <c:v>43406</c:v>
                </c:pt>
                <c:pt idx="137">
                  <c:v>43409</c:v>
                </c:pt>
                <c:pt idx="138">
                  <c:v>43410</c:v>
                </c:pt>
                <c:pt idx="139">
                  <c:v>43413</c:v>
                </c:pt>
                <c:pt idx="140">
                  <c:v>43416</c:v>
                </c:pt>
                <c:pt idx="141">
                  <c:v>43417</c:v>
                </c:pt>
                <c:pt idx="142">
                  <c:v>43418</c:v>
                </c:pt>
                <c:pt idx="143">
                  <c:v>43419</c:v>
                </c:pt>
                <c:pt idx="144">
                  <c:v>43420</c:v>
                </c:pt>
                <c:pt idx="145">
                  <c:v>43423</c:v>
                </c:pt>
                <c:pt idx="146">
                  <c:v>43424</c:v>
                </c:pt>
                <c:pt idx="147">
                  <c:v>43425</c:v>
                </c:pt>
                <c:pt idx="148">
                  <c:v>43426</c:v>
                </c:pt>
                <c:pt idx="149">
                  <c:v>43430</c:v>
                </c:pt>
                <c:pt idx="150">
                  <c:v>43431</c:v>
                </c:pt>
                <c:pt idx="151">
                  <c:v>43432</c:v>
                </c:pt>
                <c:pt idx="152">
                  <c:v>43433</c:v>
                </c:pt>
                <c:pt idx="153">
                  <c:v>43434</c:v>
                </c:pt>
                <c:pt idx="154">
                  <c:v>43437</c:v>
                </c:pt>
                <c:pt idx="155">
                  <c:v>43438</c:v>
                </c:pt>
                <c:pt idx="156">
                  <c:v>43439</c:v>
                </c:pt>
                <c:pt idx="157">
                  <c:v>43440</c:v>
                </c:pt>
                <c:pt idx="158">
                  <c:v>43441</c:v>
                </c:pt>
                <c:pt idx="159">
                  <c:v>43444</c:v>
                </c:pt>
                <c:pt idx="160">
                  <c:v>43445</c:v>
                </c:pt>
                <c:pt idx="161">
                  <c:v>43446</c:v>
                </c:pt>
                <c:pt idx="162">
                  <c:v>43447</c:v>
                </c:pt>
                <c:pt idx="163">
                  <c:v>43448</c:v>
                </c:pt>
                <c:pt idx="164">
                  <c:v>43451</c:v>
                </c:pt>
                <c:pt idx="165">
                  <c:v>43452</c:v>
                </c:pt>
                <c:pt idx="166">
                  <c:v>43453</c:v>
                </c:pt>
                <c:pt idx="167">
                  <c:v>43454</c:v>
                </c:pt>
                <c:pt idx="168">
                  <c:v>43455</c:v>
                </c:pt>
                <c:pt idx="169">
                  <c:v>43458</c:v>
                </c:pt>
                <c:pt idx="170">
                  <c:v>43460</c:v>
                </c:pt>
                <c:pt idx="171">
                  <c:v>43461</c:v>
                </c:pt>
                <c:pt idx="172">
                  <c:v>43462</c:v>
                </c:pt>
                <c:pt idx="173">
                  <c:v>43465</c:v>
                </c:pt>
                <c:pt idx="174">
                  <c:v>43466</c:v>
                </c:pt>
                <c:pt idx="175">
                  <c:v>43467</c:v>
                </c:pt>
                <c:pt idx="176">
                  <c:v>43468</c:v>
                </c:pt>
                <c:pt idx="177">
                  <c:v>43469</c:v>
                </c:pt>
                <c:pt idx="178">
                  <c:v>43472</c:v>
                </c:pt>
                <c:pt idx="179">
                  <c:v>43473</c:v>
                </c:pt>
                <c:pt idx="180">
                  <c:v>43474</c:v>
                </c:pt>
                <c:pt idx="181">
                  <c:v>43475</c:v>
                </c:pt>
                <c:pt idx="182">
                  <c:v>43476</c:v>
                </c:pt>
                <c:pt idx="183">
                  <c:v>43479</c:v>
                </c:pt>
                <c:pt idx="184">
                  <c:v>43480</c:v>
                </c:pt>
                <c:pt idx="185">
                  <c:v>43481</c:v>
                </c:pt>
                <c:pt idx="186">
                  <c:v>43482</c:v>
                </c:pt>
                <c:pt idx="187">
                  <c:v>43483</c:v>
                </c:pt>
                <c:pt idx="188">
                  <c:v>43486</c:v>
                </c:pt>
                <c:pt idx="189">
                  <c:v>43487</c:v>
                </c:pt>
                <c:pt idx="190">
                  <c:v>43488</c:v>
                </c:pt>
                <c:pt idx="191">
                  <c:v>43489</c:v>
                </c:pt>
                <c:pt idx="192">
                  <c:v>43490</c:v>
                </c:pt>
                <c:pt idx="193">
                  <c:v>43493</c:v>
                </c:pt>
                <c:pt idx="194">
                  <c:v>43494</c:v>
                </c:pt>
                <c:pt idx="195">
                  <c:v>43495</c:v>
                </c:pt>
                <c:pt idx="196">
                  <c:v>43496</c:v>
                </c:pt>
                <c:pt idx="197">
                  <c:v>43497</c:v>
                </c:pt>
                <c:pt idx="198">
                  <c:v>43500</c:v>
                </c:pt>
                <c:pt idx="199">
                  <c:v>43501</c:v>
                </c:pt>
                <c:pt idx="200">
                  <c:v>43502</c:v>
                </c:pt>
                <c:pt idx="201">
                  <c:v>43503</c:v>
                </c:pt>
                <c:pt idx="202">
                  <c:v>43504</c:v>
                </c:pt>
                <c:pt idx="203">
                  <c:v>43507</c:v>
                </c:pt>
                <c:pt idx="204">
                  <c:v>43508</c:v>
                </c:pt>
                <c:pt idx="205">
                  <c:v>43509</c:v>
                </c:pt>
                <c:pt idx="206">
                  <c:v>43510</c:v>
                </c:pt>
                <c:pt idx="207">
                  <c:v>43511</c:v>
                </c:pt>
                <c:pt idx="208">
                  <c:v>43514</c:v>
                </c:pt>
                <c:pt idx="209">
                  <c:v>43515</c:v>
                </c:pt>
                <c:pt idx="210">
                  <c:v>43516</c:v>
                </c:pt>
                <c:pt idx="211">
                  <c:v>43517</c:v>
                </c:pt>
                <c:pt idx="212">
                  <c:v>43518</c:v>
                </c:pt>
                <c:pt idx="213">
                  <c:v>43521</c:v>
                </c:pt>
                <c:pt idx="214">
                  <c:v>43522</c:v>
                </c:pt>
                <c:pt idx="215">
                  <c:v>43523</c:v>
                </c:pt>
                <c:pt idx="216">
                  <c:v>43524</c:v>
                </c:pt>
                <c:pt idx="217">
                  <c:v>43525</c:v>
                </c:pt>
                <c:pt idx="218">
                  <c:v>43529</c:v>
                </c:pt>
                <c:pt idx="219">
                  <c:v>43530</c:v>
                </c:pt>
                <c:pt idx="220">
                  <c:v>43531</c:v>
                </c:pt>
                <c:pt idx="221">
                  <c:v>43532</c:v>
                </c:pt>
                <c:pt idx="222">
                  <c:v>43535</c:v>
                </c:pt>
                <c:pt idx="223">
                  <c:v>43536</c:v>
                </c:pt>
                <c:pt idx="224">
                  <c:v>43537</c:v>
                </c:pt>
                <c:pt idx="225">
                  <c:v>43538</c:v>
                </c:pt>
                <c:pt idx="226">
                  <c:v>43539</c:v>
                </c:pt>
                <c:pt idx="227">
                  <c:v>43542</c:v>
                </c:pt>
                <c:pt idx="228">
                  <c:v>43543</c:v>
                </c:pt>
                <c:pt idx="229">
                  <c:v>43544</c:v>
                </c:pt>
                <c:pt idx="230">
                  <c:v>43546</c:v>
                </c:pt>
                <c:pt idx="231">
                  <c:v>43549</c:v>
                </c:pt>
                <c:pt idx="232">
                  <c:v>43550</c:v>
                </c:pt>
                <c:pt idx="233">
                  <c:v>43551</c:v>
                </c:pt>
                <c:pt idx="234">
                  <c:v>43552</c:v>
                </c:pt>
                <c:pt idx="235">
                  <c:v>43553</c:v>
                </c:pt>
                <c:pt idx="236">
                  <c:v>43556</c:v>
                </c:pt>
                <c:pt idx="237">
                  <c:v>43557</c:v>
                </c:pt>
                <c:pt idx="238">
                  <c:v>43558</c:v>
                </c:pt>
                <c:pt idx="239">
                  <c:v>43559</c:v>
                </c:pt>
                <c:pt idx="240">
                  <c:v>43560</c:v>
                </c:pt>
                <c:pt idx="241">
                  <c:v>43563</c:v>
                </c:pt>
                <c:pt idx="242">
                  <c:v>43564</c:v>
                </c:pt>
                <c:pt idx="243">
                  <c:v>43565</c:v>
                </c:pt>
                <c:pt idx="244">
                  <c:v>43566</c:v>
                </c:pt>
                <c:pt idx="245">
                  <c:v>43567</c:v>
                </c:pt>
                <c:pt idx="246">
                  <c:v>43570</c:v>
                </c:pt>
                <c:pt idx="247">
                  <c:v>43571</c:v>
                </c:pt>
                <c:pt idx="248">
                  <c:v>43573</c:v>
                </c:pt>
                <c:pt idx="249">
                  <c:v>43577</c:v>
                </c:pt>
                <c:pt idx="250">
                  <c:v>43578</c:v>
                </c:pt>
                <c:pt idx="251">
                  <c:v>43579</c:v>
                </c:pt>
                <c:pt idx="252">
                  <c:v>43580</c:v>
                </c:pt>
                <c:pt idx="253">
                  <c:v>43581</c:v>
                </c:pt>
                <c:pt idx="254">
                  <c:v>43585</c:v>
                </c:pt>
                <c:pt idx="255">
                  <c:v>43587</c:v>
                </c:pt>
                <c:pt idx="256">
                  <c:v>43588</c:v>
                </c:pt>
                <c:pt idx="257">
                  <c:v>43591</c:v>
                </c:pt>
                <c:pt idx="258">
                  <c:v>43592</c:v>
                </c:pt>
                <c:pt idx="259">
                  <c:v>43593</c:v>
                </c:pt>
                <c:pt idx="260">
                  <c:v>43594</c:v>
                </c:pt>
                <c:pt idx="261">
                  <c:v>43595</c:v>
                </c:pt>
                <c:pt idx="262">
                  <c:v>43598</c:v>
                </c:pt>
                <c:pt idx="263">
                  <c:v>43599</c:v>
                </c:pt>
                <c:pt idx="264">
                  <c:v>43600</c:v>
                </c:pt>
                <c:pt idx="265">
                  <c:v>43601</c:v>
                </c:pt>
                <c:pt idx="266">
                  <c:v>43602</c:v>
                </c:pt>
                <c:pt idx="267">
                  <c:v>43605</c:v>
                </c:pt>
                <c:pt idx="268">
                  <c:v>43606</c:v>
                </c:pt>
                <c:pt idx="269">
                  <c:v>43607</c:v>
                </c:pt>
                <c:pt idx="270">
                  <c:v>43608</c:v>
                </c:pt>
                <c:pt idx="271">
                  <c:v>43609</c:v>
                </c:pt>
                <c:pt idx="272">
                  <c:v>43612</c:v>
                </c:pt>
                <c:pt idx="273">
                  <c:v>43613</c:v>
                </c:pt>
                <c:pt idx="274">
                  <c:v>43614</c:v>
                </c:pt>
                <c:pt idx="275">
                  <c:v>43615</c:v>
                </c:pt>
                <c:pt idx="276">
                  <c:v>43616</c:v>
                </c:pt>
                <c:pt idx="277">
                  <c:v>43619</c:v>
                </c:pt>
                <c:pt idx="278">
                  <c:v>43620</c:v>
                </c:pt>
                <c:pt idx="279">
                  <c:v>43622</c:v>
                </c:pt>
                <c:pt idx="280">
                  <c:v>43623</c:v>
                </c:pt>
                <c:pt idx="281">
                  <c:v>43626</c:v>
                </c:pt>
                <c:pt idx="282">
                  <c:v>43627</c:v>
                </c:pt>
                <c:pt idx="283">
                  <c:v>43628</c:v>
                </c:pt>
                <c:pt idx="284">
                  <c:v>43629</c:v>
                </c:pt>
                <c:pt idx="285">
                  <c:v>43630</c:v>
                </c:pt>
                <c:pt idx="286">
                  <c:v>43633</c:v>
                </c:pt>
                <c:pt idx="287">
                  <c:v>43634</c:v>
                </c:pt>
                <c:pt idx="288">
                  <c:v>43635</c:v>
                </c:pt>
                <c:pt idx="289">
                  <c:v>43636</c:v>
                </c:pt>
                <c:pt idx="290">
                  <c:v>43637</c:v>
                </c:pt>
                <c:pt idx="291">
                  <c:v>43640</c:v>
                </c:pt>
                <c:pt idx="292">
                  <c:v>43641</c:v>
                </c:pt>
                <c:pt idx="293">
                  <c:v>43642</c:v>
                </c:pt>
                <c:pt idx="294">
                  <c:v>43643</c:v>
                </c:pt>
                <c:pt idx="295">
                  <c:v>43644</c:v>
                </c:pt>
                <c:pt idx="296">
                  <c:v>43647</c:v>
                </c:pt>
                <c:pt idx="297">
                  <c:v>43648</c:v>
                </c:pt>
                <c:pt idx="298">
                  <c:v>43649</c:v>
                </c:pt>
                <c:pt idx="299">
                  <c:v>43650</c:v>
                </c:pt>
                <c:pt idx="300">
                  <c:v>43651</c:v>
                </c:pt>
                <c:pt idx="301">
                  <c:v>43654</c:v>
                </c:pt>
                <c:pt idx="302">
                  <c:v>43655</c:v>
                </c:pt>
                <c:pt idx="303">
                  <c:v>43656</c:v>
                </c:pt>
                <c:pt idx="304">
                  <c:v>43657</c:v>
                </c:pt>
                <c:pt idx="305">
                  <c:v>43658</c:v>
                </c:pt>
                <c:pt idx="306">
                  <c:v>43661</c:v>
                </c:pt>
                <c:pt idx="307">
                  <c:v>43662</c:v>
                </c:pt>
                <c:pt idx="308">
                  <c:v>43663</c:v>
                </c:pt>
                <c:pt idx="309">
                  <c:v>43664</c:v>
                </c:pt>
                <c:pt idx="310">
                  <c:v>43665</c:v>
                </c:pt>
                <c:pt idx="311">
                  <c:v>43668</c:v>
                </c:pt>
                <c:pt idx="312">
                  <c:v>43669</c:v>
                </c:pt>
                <c:pt idx="313">
                  <c:v>43670</c:v>
                </c:pt>
                <c:pt idx="314">
                  <c:v>43671</c:v>
                </c:pt>
                <c:pt idx="315">
                  <c:v>43672</c:v>
                </c:pt>
                <c:pt idx="316">
                  <c:v>43675</c:v>
                </c:pt>
                <c:pt idx="317">
                  <c:v>43676</c:v>
                </c:pt>
                <c:pt idx="318">
                  <c:v>43677</c:v>
                </c:pt>
                <c:pt idx="319">
                  <c:v>43678</c:v>
                </c:pt>
                <c:pt idx="320">
                  <c:v>43679</c:v>
                </c:pt>
                <c:pt idx="321">
                  <c:v>43682</c:v>
                </c:pt>
                <c:pt idx="322">
                  <c:v>43683</c:v>
                </c:pt>
                <c:pt idx="323">
                  <c:v>43684</c:v>
                </c:pt>
                <c:pt idx="324">
                  <c:v>43685</c:v>
                </c:pt>
                <c:pt idx="325">
                  <c:v>43686</c:v>
                </c:pt>
                <c:pt idx="326">
                  <c:v>43690</c:v>
                </c:pt>
                <c:pt idx="327">
                  <c:v>43691</c:v>
                </c:pt>
                <c:pt idx="328">
                  <c:v>43693</c:v>
                </c:pt>
                <c:pt idx="329">
                  <c:v>43696</c:v>
                </c:pt>
                <c:pt idx="330">
                  <c:v>43697</c:v>
                </c:pt>
                <c:pt idx="331">
                  <c:v>43698</c:v>
                </c:pt>
                <c:pt idx="332">
                  <c:v>43699</c:v>
                </c:pt>
                <c:pt idx="333">
                  <c:v>43700</c:v>
                </c:pt>
                <c:pt idx="334">
                  <c:v>43703</c:v>
                </c:pt>
                <c:pt idx="335">
                  <c:v>43704</c:v>
                </c:pt>
                <c:pt idx="336">
                  <c:v>43705</c:v>
                </c:pt>
                <c:pt idx="337">
                  <c:v>43706</c:v>
                </c:pt>
                <c:pt idx="338">
                  <c:v>43707</c:v>
                </c:pt>
                <c:pt idx="339">
                  <c:v>43711</c:v>
                </c:pt>
                <c:pt idx="340">
                  <c:v>43712</c:v>
                </c:pt>
                <c:pt idx="341">
                  <c:v>43713</c:v>
                </c:pt>
                <c:pt idx="342">
                  <c:v>43714</c:v>
                </c:pt>
                <c:pt idx="343">
                  <c:v>43717</c:v>
                </c:pt>
                <c:pt idx="344">
                  <c:v>43719</c:v>
                </c:pt>
                <c:pt idx="345">
                  <c:v>43720</c:v>
                </c:pt>
                <c:pt idx="346">
                  <c:v>43721</c:v>
                </c:pt>
                <c:pt idx="347">
                  <c:v>43724</c:v>
                </c:pt>
                <c:pt idx="348">
                  <c:v>43725</c:v>
                </c:pt>
                <c:pt idx="349">
                  <c:v>43726</c:v>
                </c:pt>
                <c:pt idx="350">
                  <c:v>43727</c:v>
                </c:pt>
                <c:pt idx="351">
                  <c:v>43728</c:v>
                </c:pt>
                <c:pt idx="352">
                  <c:v>43731</c:v>
                </c:pt>
                <c:pt idx="353">
                  <c:v>43732</c:v>
                </c:pt>
                <c:pt idx="354">
                  <c:v>43733</c:v>
                </c:pt>
                <c:pt idx="355">
                  <c:v>43734</c:v>
                </c:pt>
                <c:pt idx="356">
                  <c:v>43735</c:v>
                </c:pt>
                <c:pt idx="357">
                  <c:v>43738</c:v>
                </c:pt>
                <c:pt idx="358">
                  <c:v>43739</c:v>
                </c:pt>
                <c:pt idx="359">
                  <c:v>43741</c:v>
                </c:pt>
                <c:pt idx="360">
                  <c:v>43742</c:v>
                </c:pt>
                <c:pt idx="361">
                  <c:v>43745</c:v>
                </c:pt>
                <c:pt idx="362">
                  <c:v>43747</c:v>
                </c:pt>
                <c:pt idx="363">
                  <c:v>43748</c:v>
                </c:pt>
                <c:pt idx="364">
                  <c:v>43749</c:v>
                </c:pt>
                <c:pt idx="365">
                  <c:v>43752</c:v>
                </c:pt>
                <c:pt idx="366">
                  <c:v>43753</c:v>
                </c:pt>
                <c:pt idx="367">
                  <c:v>43754</c:v>
                </c:pt>
                <c:pt idx="368">
                  <c:v>43755</c:v>
                </c:pt>
                <c:pt idx="369">
                  <c:v>43756</c:v>
                </c:pt>
                <c:pt idx="370">
                  <c:v>43760</c:v>
                </c:pt>
                <c:pt idx="371">
                  <c:v>43761</c:v>
                </c:pt>
                <c:pt idx="372">
                  <c:v>43762</c:v>
                </c:pt>
                <c:pt idx="373">
                  <c:v>43763</c:v>
                </c:pt>
                <c:pt idx="374">
                  <c:v>43767</c:v>
                </c:pt>
                <c:pt idx="375">
                  <c:v>43768</c:v>
                </c:pt>
                <c:pt idx="376">
                  <c:v>43769</c:v>
                </c:pt>
                <c:pt idx="377">
                  <c:v>43770</c:v>
                </c:pt>
                <c:pt idx="378">
                  <c:v>43773</c:v>
                </c:pt>
                <c:pt idx="379">
                  <c:v>43774</c:v>
                </c:pt>
                <c:pt idx="380">
                  <c:v>43775</c:v>
                </c:pt>
                <c:pt idx="381">
                  <c:v>43776</c:v>
                </c:pt>
                <c:pt idx="382">
                  <c:v>43777</c:v>
                </c:pt>
                <c:pt idx="383">
                  <c:v>43780</c:v>
                </c:pt>
                <c:pt idx="384">
                  <c:v>43782</c:v>
                </c:pt>
                <c:pt idx="385">
                  <c:v>43783</c:v>
                </c:pt>
                <c:pt idx="386">
                  <c:v>43784</c:v>
                </c:pt>
                <c:pt idx="387">
                  <c:v>43787</c:v>
                </c:pt>
                <c:pt idx="388">
                  <c:v>43788</c:v>
                </c:pt>
                <c:pt idx="389">
                  <c:v>43789</c:v>
                </c:pt>
                <c:pt idx="390">
                  <c:v>43790</c:v>
                </c:pt>
                <c:pt idx="391">
                  <c:v>43791</c:v>
                </c:pt>
                <c:pt idx="392">
                  <c:v>43794</c:v>
                </c:pt>
                <c:pt idx="393">
                  <c:v>43795</c:v>
                </c:pt>
                <c:pt idx="394">
                  <c:v>43796</c:v>
                </c:pt>
                <c:pt idx="395">
                  <c:v>43797</c:v>
                </c:pt>
                <c:pt idx="396">
                  <c:v>43798</c:v>
                </c:pt>
                <c:pt idx="397">
                  <c:v>43801</c:v>
                </c:pt>
                <c:pt idx="398">
                  <c:v>43802</c:v>
                </c:pt>
                <c:pt idx="399">
                  <c:v>43803</c:v>
                </c:pt>
                <c:pt idx="400">
                  <c:v>43804</c:v>
                </c:pt>
                <c:pt idx="401">
                  <c:v>43805</c:v>
                </c:pt>
                <c:pt idx="402">
                  <c:v>43808</c:v>
                </c:pt>
                <c:pt idx="403">
                  <c:v>43809</c:v>
                </c:pt>
                <c:pt idx="404">
                  <c:v>43810</c:v>
                </c:pt>
                <c:pt idx="405">
                  <c:v>43811</c:v>
                </c:pt>
                <c:pt idx="406">
                  <c:v>43812</c:v>
                </c:pt>
                <c:pt idx="407">
                  <c:v>43815</c:v>
                </c:pt>
                <c:pt idx="408">
                  <c:v>43816</c:v>
                </c:pt>
                <c:pt idx="409">
                  <c:v>43817</c:v>
                </c:pt>
                <c:pt idx="410">
                  <c:v>43818</c:v>
                </c:pt>
                <c:pt idx="411">
                  <c:v>43819</c:v>
                </c:pt>
                <c:pt idx="412">
                  <c:v>43822</c:v>
                </c:pt>
                <c:pt idx="413">
                  <c:v>43823</c:v>
                </c:pt>
                <c:pt idx="414">
                  <c:v>43825</c:v>
                </c:pt>
                <c:pt idx="415">
                  <c:v>43826</c:v>
                </c:pt>
                <c:pt idx="416">
                  <c:v>43829</c:v>
                </c:pt>
                <c:pt idx="417">
                  <c:v>43830</c:v>
                </c:pt>
                <c:pt idx="418">
                  <c:v>43831</c:v>
                </c:pt>
                <c:pt idx="419">
                  <c:v>43832</c:v>
                </c:pt>
                <c:pt idx="420">
                  <c:v>43833</c:v>
                </c:pt>
                <c:pt idx="421">
                  <c:v>43836</c:v>
                </c:pt>
                <c:pt idx="422">
                  <c:v>43837</c:v>
                </c:pt>
                <c:pt idx="423">
                  <c:v>43838</c:v>
                </c:pt>
                <c:pt idx="424">
                  <c:v>43839</c:v>
                </c:pt>
                <c:pt idx="425">
                  <c:v>43840</c:v>
                </c:pt>
                <c:pt idx="426">
                  <c:v>43843</c:v>
                </c:pt>
                <c:pt idx="427">
                  <c:v>43844</c:v>
                </c:pt>
                <c:pt idx="428">
                  <c:v>43845</c:v>
                </c:pt>
                <c:pt idx="429">
                  <c:v>43846</c:v>
                </c:pt>
                <c:pt idx="430">
                  <c:v>43847</c:v>
                </c:pt>
                <c:pt idx="431">
                  <c:v>43850</c:v>
                </c:pt>
                <c:pt idx="432">
                  <c:v>43851</c:v>
                </c:pt>
                <c:pt idx="433">
                  <c:v>43852</c:v>
                </c:pt>
                <c:pt idx="434">
                  <c:v>43853</c:v>
                </c:pt>
                <c:pt idx="435">
                  <c:v>43854</c:v>
                </c:pt>
                <c:pt idx="436">
                  <c:v>43857</c:v>
                </c:pt>
                <c:pt idx="437">
                  <c:v>43858</c:v>
                </c:pt>
                <c:pt idx="438">
                  <c:v>43859</c:v>
                </c:pt>
                <c:pt idx="439">
                  <c:v>43860</c:v>
                </c:pt>
                <c:pt idx="440">
                  <c:v>43861</c:v>
                </c:pt>
                <c:pt idx="441">
                  <c:v>43864</c:v>
                </c:pt>
                <c:pt idx="442">
                  <c:v>43865</c:v>
                </c:pt>
                <c:pt idx="443">
                  <c:v>43866</c:v>
                </c:pt>
                <c:pt idx="444">
                  <c:v>43867</c:v>
                </c:pt>
                <c:pt idx="445">
                  <c:v>43868</c:v>
                </c:pt>
                <c:pt idx="446">
                  <c:v>43871</c:v>
                </c:pt>
                <c:pt idx="447">
                  <c:v>43872</c:v>
                </c:pt>
                <c:pt idx="448">
                  <c:v>43873</c:v>
                </c:pt>
                <c:pt idx="449">
                  <c:v>43874</c:v>
                </c:pt>
                <c:pt idx="450">
                  <c:v>43875</c:v>
                </c:pt>
                <c:pt idx="451">
                  <c:v>43878</c:v>
                </c:pt>
                <c:pt idx="452">
                  <c:v>43879</c:v>
                </c:pt>
                <c:pt idx="453">
                  <c:v>43880</c:v>
                </c:pt>
                <c:pt idx="454">
                  <c:v>43881</c:v>
                </c:pt>
                <c:pt idx="455">
                  <c:v>43885</c:v>
                </c:pt>
                <c:pt idx="456">
                  <c:v>43886</c:v>
                </c:pt>
                <c:pt idx="457">
                  <c:v>43887</c:v>
                </c:pt>
                <c:pt idx="458">
                  <c:v>43888</c:v>
                </c:pt>
                <c:pt idx="459">
                  <c:v>43889</c:v>
                </c:pt>
                <c:pt idx="460">
                  <c:v>43892</c:v>
                </c:pt>
                <c:pt idx="461">
                  <c:v>43893</c:v>
                </c:pt>
                <c:pt idx="462">
                  <c:v>43894</c:v>
                </c:pt>
                <c:pt idx="463">
                  <c:v>43895</c:v>
                </c:pt>
                <c:pt idx="464">
                  <c:v>43896</c:v>
                </c:pt>
                <c:pt idx="465">
                  <c:v>43899</c:v>
                </c:pt>
                <c:pt idx="466">
                  <c:v>43901</c:v>
                </c:pt>
                <c:pt idx="467">
                  <c:v>43902</c:v>
                </c:pt>
                <c:pt idx="468">
                  <c:v>43903</c:v>
                </c:pt>
                <c:pt idx="469">
                  <c:v>43906</c:v>
                </c:pt>
                <c:pt idx="470">
                  <c:v>43907</c:v>
                </c:pt>
                <c:pt idx="471">
                  <c:v>43908</c:v>
                </c:pt>
                <c:pt idx="472">
                  <c:v>43909</c:v>
                </c:pt>
                <c:pt idx="473">
                  <c:v>43910</c:v>
                </c:pt>
                <c:pt idx="474">
                  <c:v>43913</c:v>
                </c:pt>
                <c:pt idx="475">
                  <c:v>43914</c:v>
                </c:pt>
                <c:pt idx="476">
                  <c:v>43915</c:v>
                </c:pt>
                <c:pt idx="477">
                  <c:v>43916</c:v>
                </c:pt>
                <c:pt idx="478">
                  <c:v>43917</c:v>
                </c:pt>
                <c:pt idx="479">
                  <c:v>43920</c:v>
                </c:pt>
                <c:pt idx="480">
                  <c:v>43921</c:v>
                </c:pt>
                <c:pt idx="481">
                  <c:v>43922</c:v>
                </c:pt>
                <c:pt idx="482">
                  <c:v>43924</c:v>
                </c:pt>
                <c:pt idx="483">
                  <c:v>43928</c:v>
                </c:pt>
                <c:pt idx="484">
                  <c:v>43929</c:v>
                </c:pt>
                <c:pt idx="485">
                  <c:v>43930</c:v>
                </c:pt>
                <c:pt idx="486">
                  <c:v>43934</c:v>
                </c:pt>
                <c:pt idx="487">
                  <c:v>43936</c:v>
                </c:pt>
                <c:pt idx="488">
                  <c:v>43937</c:v>
                </c:pt>
                <c:pt idx="489">
                  <c:v>43938</c:v>
                </c:pt>
                <c:pt idx="490">
                  <c:v>43941</c:v>
                </c:pt>
                <c:pt idx="491">
                  <c:v>43942</c:v>
                </c:pt>
                <c:pt idx="492">
                  <c:v>43943</c:v>
                </c:pt>
                <c:pt idx="493">
                  <c:v>43944</c:v>
                </c:pt>
                <c:pt idx="494">
                  <c:v>43945</c:v>
                </c:pt>
                <c:pt idx="495">
                  <c:v>43948</c:v>
                </c:pt>
                <c:pt idx="496">
                  <c:v>43949</c:v>
                </c:pt>
                <c:pt idx="497">
                  <c:v>43950</c:v>
                </c:pt>
                <c:pt idx="498">
                  <c:v>43951</c:v>
                </c:pt>
                <c:pt idx="499">
                  <c:v>43955</c:v>
                </c:pt>
                <c:pt idx="500">
                  <c:v>43956</c:v>
                </c:pt>
                <c:pt idx="501">
                  <c:v>43957</c:v>
                </c:pt>
                <c:pt idx="502">
                  <c:v>43958</c:v>
                </c:pt>
                <c:pt idx="503">
                  <c:v>43959</c:v>
                </c:pt>
                <c:pt idx="504">
                  <c:v>43962</c:v>
                </c:pt>
                <c:pt idx="505">
                  <c:v>43963</c:v>
                </c:pt>
                <c:pt idx="506">
                  <c:v>43964</c:v>
                </c:pt>
                <c:pt idx="507">
                  <c:v>43965</c:v>
                </c:pt>
                <c:pt idx="508">
                  <c:v>43966</c:v>
                </c:pt>
                <c:pt idx="509">
                  <c:v>43969</c:v>
                </c:pt>
                <c:pt idx="510">
                  <c:v>43970</c:v>
                </c:pt>
                <c:pt idx="511">
                  <c:v>43971</c:v>
                </c:pt>
                <c:pt idx="512">
                  <c:v>43972</c:v>
                </c:pt>
                <c:pt idx="513">
                  <c:v>43973</c:v>
                </c:pt>
                <c:pt idx="514">
                  <c:v>43977</c:v>
                </c:pt>
                <c:pt idx="515">
                  <c:v>43978</c:v>
                </c:pt>
                <c:pt idx="516">
                  <c:v>43979</c:v>
                </c:pt>
                <c:pt idx="517">
                  <c:v>43980</c:v>
                </c:pt>
                <c:pt idx="518">
                  <c:v>43983</c:v>
                </c:pt>
                <c:pt idx="519">
                  <c:v>43984</c:v>
                </c:pt>
                <c:pt idx="520">
                  <c:v>43985</c:v>
                </c:pt>
                <c:pt idx="521">
                  <c:v>43986</c:v>
                </c:pt>
                <c:pt idx="522">
                  <c:v>43987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43997</c:v>
                </c:pt>
                <c:pt idx="529">
                  <c:v>43998</c:v>
                </c:pt>
                <c:pt idx="530">
                  <c:v>43999</c:v>
                </c:pt>
                <c:pt idx="531">
                  <c:v>44000</c:v>
                </c:pt>
                <c:pt idx="532">
                  <c:v>44001</c:v>
                </c:pt>
                <c:pt idx="533">
                  <c:v>44004</c:v>
                </c:pt>
                <c:pt idx="534">
                  <c:v>44005</c:v>
                </c:pt>
                <c:pt idx="535">
                  <c:v>44006</c:v>
                </c:pt>
                <c:pt idx="536">
                  <c:v>44007</c:v>
                </c:pt>
                <c:pt idx="537">
                  <c:v>44008</c:v>
                </c:pt>
                <c:pt idx="538">
                  <c:v>44011</c:v>
                </c:pt>
                <c:pt idx="539">
                  <c:v>44012</c:v>
                </c:pt>
                <c:pt idx="540">
                  <c:v>44013</c:v>
                </c:pt>
                <c:pt idx="541">
                  <c:v>44014</c:v>
                </c:pt>
                <c:pt idx="542">
                  <c:v>44015</c:v>
                </c:pt>
                <c:pt idx="543">
                  <c:v>44018</c:v>
                </c:pt>
                <c:pt idx="544">
                  <c:v>44019</c:v>
                </c:pt>
                <c:pt idx="545">
                  <c:v>44020</c:v>
                </c:pt>
                <c:pt idx="546">
                  <c:v>44021</c:v>
                </c:pt>
                <c:pt idx="547">
                  <c:v>44022</c:v>
                </c:pt>
                <c:pt idx="548">
                  <c:v>44025</c:v>
                </c:pt>
                <c:pt idx="549">
                  <c:v>44026</c:v>
                </c:pt>
                <c:pt idx="550">
                  <c:v>44027</c:v>
                </c:pt>
                <c:pt idx="551">
                  <c:v>44028</c:v>
                </c:pt>
                <c:pt idx="552">
                  <c:v>44029</c:v>
                </c:pt>
                <c:pt idx="553">
                  <c:v>44032</c:v>
                </c:pt>
                <c:pt idx="554">
                  <c:v>44033</c:v>
                </c:pt>
                <c:pt idx="555">
                  <c:v>44034</c:v>
                </c:pt>
                <c:pt idx="556">
                  <c:v>44035</c:v>
                </c:pt>
                <c:pt idx="557">
                  <c:v>44036</c:v>
                </c:pt>
                <c:pt idx="558">
                  <c:v>44039</c:v>
                </c:pt>
                <c:pt idx="559">
                  <c:v>44040</c:v>
                </c:pt>
                <c:pt idx="560">
                  <c:v>44041</c:v>
                </c:pt>
                <c:pt idx="561">
                  <c:v>44042</c:v>
                </c:pt>
                <c:pt idx="562">
                  <c:v>44043</c:v>
                </c:pt>
                <c:pt idx="563">
                  <c:v>44046</c:v>
                </c:pt>
                <c:pt idx="564">
                  <c:v>44047</c:v>
                </c:pt>
                <c:pt idx="565">
                  <c:v>44048</c:v>
                </c:pt>
                <c:pt idx="566">
                  <c:v>44049</c:v>
                </c:pt>
                <c:pt idx="567">
                  <c:v>44050</c:v>
                </c:pt>
                <c:pt idx="568">
                  <c:v>44053</c:v>
                </c:pt>
                <c:pt idx="569">
                  <c:v>44054</c:v>
                </c:pt>
                <c:pt idx="570">
                  <c:v>44055</c:v>
                </c:pt>
                <c:pt idx="571">
                  <c:v>44056</c:v>
                </c:pt>
                <c:pt idx="572">
                  <c:v>44057</c:v>
                </c:pt>
                <c:pt idx="573">
                  <c:v>44060</c:v>
                </c:pt>
                <c:pt idx="574">
                  <c:v>44061</c:v>
                </c:pt>
                <c:pt idx="575">
                  <c:v>44062</c:v>
                </c:pt>
                <c:pt idx="576">
                  <c:v>44063</c:v>
                </c:pt>
                <c:pt idx="577">
                  <c:v>44064</c:v>
                </c:pt>
                <c:pt idx="578">
                  <c:v>44067</c:v>
                </c:pt>
                <c:pt idx="579">
                  <c:v>44068</c:v>
                </c:pt>
                <c:pt idx="580">
                  <c:v>44069</c:v>
                </c:pt>
                <c:pt idx="581">
                  <c:v>44070</c:v>
                </c:pt>
                <c:pt idx="582">
                  <c:v>44071</c:v>
                </c:pt>
                <c:pt idx="583">
                  <c:v>44074</c:v>
                </c:pt>
                <c:pt idx="584">
                  <c:v>44075</c:v>
                </c:pt>
                <c:pt idx="585">
                  <c:v>44076</c:v>
                </c:pt>
                <c:pt idx="586">
                  <c:v>44077</c:v>
                </c:pt>
                <c:pt idx="587">
                  <c:v>44078</c:v>
                </c:pt>
                <c:pt idx="588">
                  <c:v>44081</c:v>
                </c:pt>
                <c:pt idx="589">
                  <c:v>44082</c:v>
                </c:pt>
                <c:pt idx="590">
                  <c:v>44083</c:v>
                </c:pt>
                <c:pt idx="591">
                  <c:v>44084</c:v>
                </c:pt>
                <c:pt idx="592">
                  <c:v>44085</c:v>
                </c:pt>
                <c:pt idx="593">
                  <c:v>44088</c:v>
                </c:pt>
                <c:pt idx="594">
                  <c:v>44089</c:v>
                </c:pt>
                <c:pt idx="595">
                  <c:v>44090</c:v>
                </c:pt>
                <c:pt idx="596">
                  <c:v>44091</c:v>
                </c:pt>
                <c:pt idx="597">
                  <c:v>44092</c:v>
                </c:pt>
                <c:pt idx="598">
                  <c:v>44095</c:v>
                </c:pt>
                <c:pt idx="599">
                  <c:v>44096</c:v>
                </c:pt>
                <c:pt idx="600">
                  <c:v>44097</c:v>
                </c:pt>
                <c:pt idx="601">
                  <c:v>44098</c:v>
                </c:pt>
                <c:pt idx="602">
                  <c:v>44099</c:v>
                </c:pt>
                <c:pt idx="603">
                  <c:v>44102</c:v>
                </c:pt>
                <c:pt idx="604">
                  <c:v>44103</c:v>
                </c:pt>
                <c:pt idx="605">
                  <c:v>44104</c:v>
                </c:pt>
                <c:pt idx="606">
                  <c:v>44105</c:v>
                </c:pt>
                <c:pt idx="607">
                  <c:v>44109</c:v>
                </c:pt>
                <c:pt idx="608">
                  <c:v>44110</c:v>
                </c:pt>
                <c:pt idx="609">
                  <c:v>44111</c:v>
                </c:pt>
                <c:pt idx="610">
                  <c:v>44112</c:v>
                </c:pt>
                <c:pt idx="611">
                  <c:v>44113</c:v>
                </c:pt>
                <c:pt idx="612">
                  <c:v>44116</c:v>
                </c:pt>
                <c:pt idx="613">
                  <c:v>44117</c:v>
                </c:pt>
                <c:pt idx="614">
                  <c:v>44118</c:v>
                </c:pt>
                <c:pt idx="615">
                  <c:v>44119</c:v>
                </c:pt>
                <c:pt idx="616">
                  <c:v>44120</c:v>
                </c:pt>
                <c:pt idx="617">
                  <c:v>44123</c:v>
                </c:pt>
                <c:pt idx="618">
                  <c:v>44124</c:v>
                </c:pt>
                <c:pt idx="619">
                  <c:v>44125</c:v>
                </c:pt>
                <c:pt idx="620">
                  <c:v>44126</c:v>
                </c:pt>
                <c:pt idx="621">
                  <c:v>44127</c:v>
                </c:pt>
                <c:pt idx="622">
                  <c:v>44130</c:v>
                </c:pt>
                <c:pt idx="623">
                  <c:v>44131</c:v>
                </c:pt>
                <c:pt idx="624">
                  <c:v>44132</c:v>
                </c:pt>
                <c:pt idx="625">
                  <c:v>44133</c:v>
                </c:pt>
                <c:pt idx="626">
                  <c:v>44134</c:v>
                </c:pt>
                <c:pt idx="627">
                  <c:v>44137</c:v>
                </c:pt>
                <c:pt idx="628">
                  <c:v>44138</c:v>
                </c:pt>
                <c:pt idx="629">
                  <c:v>44139</c:v>
                </c:pt>
                <c:pt idx="630">
                  <c:v>44140</c:v>
                </c:pt>
                <c:pt idx="631">
                  <c:v>44141</c:v>
                </c:pt>
                <c:pt idx="632">
                  <c:v>44144</c:v>
                </c:pt>
                <c:pt idx="633">
                  <c:v>44145</c:v>
                </c:pt>
                <c:pt idx="634">
                  <c:v>44146</c:v>
                </c:pt>
                <c:pt idx="635">
                  <c:v>44147</c:v>
                </c:pt>
                <c:pt idx="636">
                  <c:v>44148</c:v>
                </c:pt>
                <c:pt idx="637">
                  <c:v>44152</c:v>
                </c:pt>
                <c:pt idx="638">
                  <c:v>44153</c:v>
                </c:pt>
                <c:pt idx="639">
                  <c:v>44154</c:v>
                </c:pt>
                <c:pt idx="640">
                  <c:v>44155</c:v>
                </c:pt>
                <c:pt idx="641">
                  <c:v>44158</c:v>
                </c:pt>
                <c:pt idx="642">
                  <c:v>44159</c:v>
                </c:pt>
                <c:pt idx="643">
                  <c:v>44160</c:v>
                </c:pt>
                <c:pt idx="644">
                  <c:v>44161</c:v>
                </c:pt>
                <c:pt idx="645">
                  <c:v>44162</c:v>
                </c:pt>
                <c:pt idx="646">
                  <c:v>44166</c:v>
                </c:pt>
                <c:pt idx="647">
                  <c:v>44167</c:v>
                </c:pt>
                <c:pt idx="648">
                  <c:v>44168</c:v>
                </c:pt>
                <c:pt idx="649">
                  <c:v>44169</c:v>
                </c:pt>
                <c:pt idx="650">
                  <c:v>44172</c:v>
                </c:pt>
                <c:pt idx="651">
                  <c:v>44173</c:v>
                </c:pt>
                <c:pt idx="652">
                  <c:v>44174</c:v>
                </c:pt>
                <c:pt idx="653">
                  <c:v>44175</c:v>
                </c:pt>
                <c:pt idx="654">
                  <c:v>44176</c:v>
                </c:pt>
                <c:pt idx="655">
                  <c:v>44179</c:v>
                </c:pt>
                <c:pt idx="656">
                  <c:v>44180</c:v>
                </c:pt>
                <c:pt idx="657">
                  <c:v>44181</c:v>
                </c:pt>
                <c:pt idx="658">
                  <c:v>44182</c:v>
                </c:pt>
                <c:pt idx="659">
                  <c:v>44183</c:v>
                </c:pt>
                <c:pt idx="660">
                  <c:v>44186</c:v>
                </c:pt>
                <c:pt idx="661">
                  <c:v>44187</c:v>
                </c:pt>
                <c:pt idx="662">
                  <c:v>44188</c:v>
                </c:pt>
                <c:pt idx="663">
                  <c:v>44189</c:v>
                </c:pt>
                <c:pt idx="664">
                  <c:v>44193</c:v>
                </c:pt>
                <c:pt idx="665">
                  <c:v>44194</c:v>
                </c:pt>
                <c:pt idx="666">
                  <c:v>44195</c:v>
                </c:pt>
                <c:pt idx="667">
                  <c:v>44196</c:v>
                </c:pt>
                <c:pt idx="668">
                  <c:v>44197</c:v>
                </c:pt>
                <c:pt idx="669">
                  <c:v>44200</c:v>
                </c:pt>
                <c:pt idx="670">
                  <c:v>44201</c:v>
                </c:pt>
                <c:pt idx="671">
                  <c:v>44202</c:v>
                </c:pt>
                <c:pt idx="672">
                  <c:v>44203</c:v>
                </c:pt>
                <c:pt idx="673">
                  <c:v>44204</c:v>
                </c:pt>
                <c:pt idx="674">
                  <c:v>44207</c:v>
                </c:pt>
                <c:pt idx="675">
                  <c:v>44208</c:v>
                </c:pt>
                <c:pt idx="676">
                  <c:v>44209</c:v>
                </c:pt>
                <c:pt idx="677">
                  <c:v>44210</c:v>
                </c:pt>
                <c:pt idx="678">
                  <c:v>44211</c:v>
                </c:pt>
                <c:pt idx="679">
                  <c:v>44214</c:v>
                </c:pt>
                <c:pt idx="680">
                  <c:v>44215</c:v>
                </c:pt>
                <c:pt idx="681">
                  <c:v>44216</c:v>
                </c:pt>
                <c:pt idx="682">
                  <c:v>44217</c:v>
                </c:pt>
                <c:pt idx="683">
                  <c:v>44218</c:v>
                </c:pt>
                <c:pt idx="684">
                  <c:v>44221</c:v>
                </c:pt>
                <c:pt idx="685">
                  <c:v>44223</c:v>
                </c:pt>
                <c:pt idx="686">
                  <c:v>44224</c:v>
                </c:pt>
                <c:pt idx="687">
                  <c:v>44225</c:v>
                </c:pt>
                <c:pt idx="688">
                  <c:v>44228</c:v>
                </c:pt>
                <c:pt idx="689">
                  <c:v>44229</c:v>
                </c:pt>
                <c:pt idx="690">
                  <c:v>44230</c:v>
                </c:pt>
                <c:pt idx="691">
                  <c:v>44231</c:v>
                </c:pt>
                <c:pt idx="692">
                  <c:v>44232</c:v>
                </c:pt>
                <c:pt idx="693">
                  <c:v>44235</c:v>
                </c:pt>
                <c:pt idx="694">
                  <c:v>44236</c:v>
                </c:pt>
                <c:pt idx="695">
                  <c:v>44237</c:v>
                </c:pt>
                <c:pt idx="696">
                  <c:v>44238</c:v>
                </c:pt>
                <c:pt idx="697">
                  <c:v>44239</c:v>
                </c:pt>
                <c:pt idx="698">
                  <c:v>44242</c:v>
                </c:pt>
                <c:pt idx="699">
                  <c:v>44243</c:v>
                </c:pt>
                <c:pt idx="700">
                  <c:v>44244</c:v>
                </c:pt>
                <c:pt idx="701">
                  <c:v>44245</c:v>
                </c:pt>
                <c:pt idx="702">
                  <c:v>44246</c:v>
                </c:pt>
                <c:pt idx="703">
                  <c:v>44249</c:v>
                </c:pt>
                <c:pt idx="704">
                  <c:v>44250</c:v>
                </c:pt>
                <c:pt idx="705">
                  <c:v>44251</c:v>
                </c:pt>
                <c:pt idx="706">
                  <c:v>44252</c:v>
                </c:pt>
                <c:pt idx="707">
                  <c:v>44253</c:v>
                </c:pt>
                <c:pt idx="708">
                  <c:v>44256</c:v>
                </c:pt>
                <c:pt idx="709">
                  <c:v>44257</c:v>
                </c:pt>
                <c:pt idx="710">
                  <c:v>44258</c:v>
                </c:pt>
                <c:pt idx="711">
                  <c:v>44259</c:v>
                </c:pt>
                <c:pt idx="712">
                  <c:v>44260</c:v>
                </c:pt>
                <c:pt idx="713">
                  <c:v>44263</c:v>
                </c:pt>
                <c:pt idx="714">
                  <c:v>44264</c:v>
                </c:pt>
                <c:pt idx="715">
                  <c:v>44265</c:v>
                </c:pt>
                <c:pt idx="716">
                  <c:v>44267</c:v>
                </c:pt>
                <c:pt idx="717">
                  <c:v>44270</c:v>
                </c:pt>
                <c:pt idx="718">
                  <c:v>44271</c:v>
                </c:pt>
                <c:pt idx="719">
                  <c:v>44272</c:v>
                </c:pt>
                <c:pt idx="720">
                  <c:v>44273</c:v>
                </c:pt>
                <c:pt idx="721">
                  <c:v>44274</c:v>
                </c:pt>
                <c:pt idx="722">
                  <c:v>44277</c:v>
                </c:pt>
                <c:pt idx="723">
                  <c:v>44278</c:v>
                </c:pt>
                <c:pt idx="724">
                  <c:v>44279</c:v>
                </c:pt>
                <c:pt idx="725">
                  <c:v>44280</c:v>
                </c:pt>
                <c:pt idx="726">
                  <c:v>44281</c:v>
                </c:pt>
                <c:pt idx="727">
                  <c:v>44285</c:v>
                </c:pt>
                <c:pt idx="728">
                  <c:v>44286</c:v>
                </c:pt>
                <c:pt idx="729">
                  <c:v>44287</c:v>
                </c:pt>
                <c:pt idx="730">
                  <c:v>44291</c:v>
                </c:pt>
                <c:pt idx="731">
                  <c:v>44292</c:v>
                </c:pt>
                <c:pt idx="732">
                  <c:v>44293</c:v>
                </c:pt>
                <c:pt idx="733">
                  <c:v>44294</c:v>
                </c:pt>
                <c:pt idx="734">
                  <c:v>44295</c:v>
                </c:pt>
                <c:pt idx="735">
                  <c:v>44298</c:v>
                </c:pt>
                <c:pt idx="736">
                  <c:v>44299</c:v>
                </c:pt>
                <c:pt idx="737">
                  <c:v>44301</c:v>
                </c:pt>
                <c:pt idx="738">
                  <c:v>44302</c:v>
                </c:pt>
                <c:pt idx="739">
                  <c:v>44305</c:v>
                </c:pt>
                <c:pt idx="740">
                  <c:v>44306</c:v>
                </c:pt>
                <c:pt idx="741">
                  <c:v>44308</c:v>
                </c:pt>
                <c:pt idx="742">
                  <c:v>44309</c:v>
                </c:pt>
                <c:pt idx="743">
                  <c:v>44312</c:v>
                </c:pt>
                <c:pt idx="744">
                  <c:v>44313</c:v>
                </c:pt>
                <c:pt idx="745">
                  <c:v>44314</c:v>
                </c:pt>
                <c:pt idx="746">
                  <c:v>44315</c:v>
                </c:pt>
                <c:pt idx="747">
                  <c:v>44316</c:v>
                </c:pt>
                <c:pt idx="748">
                  <c:v>44319</c:v>
                </c:pt>
                <c:pt idx="749">
                  <c:v>44320</c:v>
                </c:pt>
                <c:pt idx="750">
                  <c:v>44321</c:v>
                </c:pt>
                <c:pt idx="751">
                  <c:v>44322</c:v>
                </c:pt>
                <c:pt idx="752">
                  <c:v>44323</c:v>
                </c:pt>
                <c:pt idx="753">
                  <c:v>44326</c:v>
                </c:pt>
                <c:pt idx="754">
                  <c:v>44327</c:v>
                </c:pt>
                <c:pt idx="755">
                  <c:v>44328</c:v>
                </c:pt>
                <c:pt idx="756">
                  <c:v>44330</c:v>
                </c:pt>
                <c:pt idx="757">
                  <c:v>44333</c:v>
                </c:pt>
                <c:pt idx="758">
                  <c:v>44334</c:v>
                </c:pt>
                <c:pt idx="759">
                  <c:v>44335</c:v>
                </c:pt>
                <c:pt idx="760">
                  <c:v>44336</c:v>
                </c:pt>
                <c:pt idx="761">
                  <c:v>44337</c:v>
                </c:pt>
                <c:pt idx="762">
                  <c:v>44340</c:v>
                </c:pt>
                <c:pt idx="763">
                  <c:v>44341</c:v>
                </c:pt>
                <c:pt idx="764">
                  <c:v>44342</c:v>
                </c:pt>
                <c:pt idx="765">
                  <c:v>44343</c:v>
                </c:pt>
                <c:pt idx="766">
                  <c:v>44344</c:v>
                </c:pt>
                <c:pt idx="767">
                  <c:v>44347</c:v>
                </c:pt>
                <c:pt idx="768">
                  <c:v>44348</c:v>
                </c:pt>
                <c:pt idx="769">
                  <c:v>44349</c:v>
                </c:pt>
                <c:pt idx="770">
                  <c:v>44350</c:v>
                </c:pt>
                <c:pt idx="771">
                  <c:v>44351</c:v>
                </c:pt>
                <c:pt idx="772">
                  <c:v>44354</c:v>
                </c:pt>
                <c:pt idx="773">
                  <c:v>44355</c:v>
                </c:pt>
                <c:pt idx="774">
                  <c:v>44356</c:v>
                </c:pt>
                <c:pt idx="775">
                  <c:v>44357</c:v>
                </c:pt>
                <c:pt idx="776">
                  <c:v>44358</c:v>
                </c:pt>
                <c:pt idx="777">
                  <c:v>44361</c:v>
                </c:pt>
                <c:pt idx="778">
                  <c:v>44362</c:v>
                </c:pt>
                <c:pt idx="779">
                  <c:v>44363</c:v>
                </c:pt>
                <c:pt idx="780">
                  <c:v>44364</c:v>
                </c:pt>
                <c:pt idx="781">
                  <c:v>44365</c:v>
                </c:pt>
                <c:pt idx="782">
                  <c:v>44368</c:v>
                </c:pt>
                <c:pt idx="783">
                  <c:v>44369</c:v>
                </c:pt>
                <c:pt idx="784">
                  <c:v>44370</c:v>
                </c:pt>
                <c:pt idx="785">
                  <c:v>44371</c:v>
                </c:pt>
                <c:pt idx="786">
                  <c:v>44372</c:v>
                </c:pt>
                <c:pt idx="787">
                  <c:v>44375</c:v>
                </c:pt>
                <c:pt idx="788">
                  <c:v>44376</c:v>
                </c:pt>
                <c:pt idx="789">
                  <c:v>44377</c:v>
                </c:pt>
                <c:pt idx="790">
                  <c:v>44378</c:v>
                </c:pt>
                <c:pt idx="791">
                  <c:v>44379</c:v>
                </c:pt>
                <c:pt idx="792">
                  <c:v>44382</c:v>
                </c:pt>
                <c:pt idx="793">
                  <c:v>44383</c:v>
                </c:pt>
                <c:pt idx="794">
                  <c:v>44384</c:v>
                </c:pt>
                <c:pt idx="795">
                  <c:v>44385</c:v>
                </c:pt>
                <c:pt idx="796">
                  <c:v>44386</c:v>
                </c:pt>
                <c:pt idx="797">
                  <c:v>44389</c:v>
                </c:pt>
                <c:pt idx="798">
                  <c:v>44390</c:v>
                </c:pt>
                <c:pt idx="799">
                  <c:v>44391</c:v>
                </c:pt>
                <c:pt idx="800">
                  <c:v>44392</c:v>
                </c:pt>
                <c:pt idx="801">
                  <c:v>44393</c:v>
                </c:pt>
                <c:pt idx="802">
                  <c:v>44396</c:v>
                </c:pt>
                <c:pt idx="803">
                  <c:v>44397</c:v>
                </c:pt>
                <c:pt idx="804">
                  <c:v>44399</c:v>
                </c:pt>
                <c:pt idx="805">
                  <c:v>44400</c:v>
                </c:pt>
                <c:pt idx="806">
                  <c:v>44403</c:v>
                </c:pt>
                <c:pt idx="807">
                  <c:v>44404</c:v>
                </c:pt>
                <c:pt idx="808">
                  <c:v>44405</c:v>
                </c:pt>
                <c:pt idx="809">
                  <c:v>44406</c:v>
                </c:pt>
                <c:pt idx="810">
                  <c:v>44407</c:v>
                </c:pt>
                <c:pt idx="811">
                  <c:v>44410</c:v>
                </c:pt>
                <c:pt idx="812">
                  <c:v>44411</c:v>
                </c:pt>
                <c:pt idx="813">
                  <c:v>44412</c:v>
                </c:pt>
                <c:pt idx="814">
                  <c:v>44413</c:v>
                </c:pt>
                <c:pt idx="815">
                  <c:v>44414</c:v>
                </c:pt>
                <c:pt idx="816">
                  <c:v>44417</c:v>
                </c:pt>
                <c:pt idx="817">
                  <c:v>44418</c:v>
                </c:pt>
                <c:pt idx="818">
                  <c:v>44419</c:v>
                </c:pt>
                <c:pt idx="819">
                  <c:v>44420</c:v>
                </c:pt>
                <c:pt idx="820">
                  <c:v>44421</c:v>
                </c:pt>
                <c:pt idx="821">
                  <c:v>44424</c:v>
                </c:pt>
                <c:pt idx="822">
                  <c:v>44425</c:v>
                </c:pt>
                <c:pt idx="823">
                  <c:v>44426</c:v>
                </c:pt>
                <c:pt idx="824">
                  <c:v>44428</c:v>
                </c:pt>
                <c:pt idx="825">
                  <c:v>44431</c:v>
                </c:pt>
                <c:pt idx="826">
                  <c:v>44432</c:v>
                </c:pt>
                <c:pt idx="827">
                  <c:v>44433</c:v>
                </c:pt>
                <c:pt idx="828">
                  <c:v>44434</c:v>
                </c:pt>
                <c:pt idx="829">
                  <c:v>44435</c:v>
                </c:pt>
                <c:pt idx="830">
                  <c:v>44438</c:v>
                </c:pt>
                <c:pt idx="831">
                  <c:v>44439</c:v>
                </c:pt>
                <c:pt idx="832">
                  <c:v>44440</c:v>
                </c:pt>
                <c:pt idx="833">
                  <c:v>44441</c:v>
                </c:pt>
                <c:pt idx="834">
                  <c:v>44442</c:v>
                </c:pt>
                <c:pt idx="835">
                  <c:v>44445</c:v>
                </c:pt>
                <c:pt idx="836">
                  <c:v>44446</c:v>
                </c:pt>
                <c:pt idx="837">
                  <c:v>44447</c:v>
                </c:pt>
                <c:pt idx="838">
                  <c:v>44448</c:v>
                </c:pt>
                <c:pt idx="839">
                  <c:v>44452</c:v>
                </c:pt>
                <c:pt idx="840">
                  <c:v>44453</c:v>
                </c:pt>
                <c:pt idx="841">
                  <c:v>44454</c:v>
                </c:pt>
                <c:pt idx="842">
                  <c:v>44455</c:v>
                </c:pt>
                <c:pt idx="843">
                  <c:v>44456</c:v>
                </c:pt>
                <c:pt idx="844">
                  <c:v>44459</c:v>
                </c:pt>
                <c:pt idx="845">
                  <c:v>44460</c:v>
                </c:pt>
                <c:pt idx="846">
                  <c:v>44461</c:v>
                </c:pt>
                <c:pt idx="847">
                  <c:v>44462</c:v>
                </c:pt>
                <c:pt idx="848">
                  <c:v>44463</c:v>
                </c:pt>
                <c:pt idx="849">
                  <c:v>44466</c:v>
                </c:pt>
                <c:pt idx="850">
                  <c:v>44467</c:v>
                </c:pt>
                <c:pt idx="851">
                  <c:v>44468</c:v>
                </c:pt>
                <c:pt idx="852">
                  <c:v>44469</c:v>
                </c:pt>
                <c:pt idx="853">
                  <c:v>44470</c:v>
                </c:pt>
                <c:pt idx="854">
                  <c:v>44473</c:v>
                </c:pt>
                <c:pt idx="855">
                  <c:v>44474</c:v>
                </c:pt>
                <c:pt idx="856">
                  <c:v>44475</c:v>
                </c:pt>
                <c:pt idx="857">
                  <c:v>44476</c:v>
                </c:pt>
                <c:pt idx="858">
                  <c:v>44477</c:v>
                </c:pt>
                <c:pt idx="859">
                  <c:v>44480</c:v>
                </c:pt>
                <c:pt idx="860">
                  <c:v>44481</c:v>
                </c:pt>
                <c:pt idx="861">
                  <c:v>44482</c:v>
                </c:pt>
                <c:pt idx="862">
                  <c:v>44483</c:v>
                </c:pt>
                <c:pt idx="863">
                  <c:v>44487</c:v>
                </c:pt>
                <c:pt idx="864">
                  <c:v>44488</c:v>
                </c:pt>
                <c:pt idx="865">
                  <c:v>44489</c:v>
                </c:pt>
                <c:pt idx="866">
                  <c:v>44490</c:v>
                </c:pt>
                <c:pt idx="867">
                  <c:v>44491</c:v>
                </c:pt>
                <c:pt idx="868">
                  <c:v>44494</c:v>
                </c:pt>
                <c:pt idx="869">
                  <c:v>44495</c:v>
                </c:pt>
                <c:pt idx="870">
                  <c:v>44496</c:v>
                </c:pt>
                <c:pt idx="871">
                  <c:v>44497</c:v>
                </c:pt>
                <c:pt idx="872">
                  <c:v>44498</c:v>
                </c:pt>
                <c:pt idx="873">
                  <c:v>44501</c:v>
                </c:pt>
                <c:pt idx="874">
                  <c:v>44502</c:v>
                </c:pt>
                <c:pt idx="875">
                  <c:v>44503</c:v>
                </c:pt>
                <c:pt idx="876">
                  <c:v>44508</c:v>
                </c:pt>
                <c:pt idx="877">
                  <c:v>44509</c:v>
                </c:pt>
                <c:pt idx="878">
                  <c:v>44510</c:v>
                </c:pt>
                <c:pt idx="879">
                  <c:v>44511</c:v>
                </c:pt>
                <c:pt idx="880">
                  <c:v>44512</c:v>
                </c:pt>
                <c:pt idx="881">
                  <c:v>44515</c:v>
                </c:pt>
                <c:pt idx="882">
                  <c:v>44516</c:v>
                </c:pt>
                <c:pt idx="883">
                  <c:v>44517</c:v>
                </c:pt>
                <c:pt idx="884">
                  <c:v>44518</c:v>
                </c:pt>
                <c:pt idx="885">
                  <c:v>44522</c:v>
                </c:pt>
                <c:pt idx="886">
                  <c:v>44523</c:v>
                </c:pt>
                <c:pt idx="887">
                  <c:v>44524</c:v>
                </c:pt>
                <c:pt idx="888">
                  <c:v>44525</c:v>
                </c:pt>
                <c:pt idx="889">
                  <c:v>44526</c:v>
                </c:pt>
                <c:pt idx="890">
                  <c:v>44529</c:v>
                </c:pt>
                <c:pt idx="891">
                  <c:v>44530</c:v>
                </c:pt>
                <c:pt idx="892">
                  <c:v>44531</c:v>
                </c:pt>
                <c:pt idx="893">
                  <c:v>44532</c:v>
                </c:pt>
                <c:pt idx="894">
                  <c:v>44533</c:v>
                </c:pt>
                <c:pt idx="895">
                  <c:v>44536</c:v>
                </c:pt>
                <c:pt idx="896">
                  <c:v>44537</c:v>
                </c:pt>
                <c:pt idx="897">
                  <c:v>44538</c:v>
                </c:pt>
                <c:pt idx="898">
                  <c:v>44539</c:v>
                </c:pt>
                <c:pt idx="899">
                  <c:v>44540</c:v>
                </c:pt>
                <c:pt idx="900">
                  <c:v>44543</c:v>
                </c:pt>
                <c:pt idx="901">
                  <c:v>44544</c:v>
                </c:pt>
                <c:pt idx="902">
                  <c:v>44545</c:v>
                </c:pt>
                <c:pt idx="903">
                  <c:v>44546</c:v>
                </c:pt>
                <c:pt idx="904">
                  <c:v>44547</c:v>
                </c:pt>
                <c:pt idx="905">
                  <c:v>44550</c:v>
                </c:pt>
                <c:pt idx="906">
                  <c:v>44551</c:v>
                </c:pt>
                <c:pt idx="907">
                  <c:v>44552</c:v>
                </c:pt>
                <c:pt idx="908">
                  <c:v>44553</c:v>
                </c:pt>
                <c:pt idx="909">
                  <c:v>44554</c:v>
                </c:pt>
                <c:pt idx="910">
                  <c:v>44557</c:v>
                </c:pt>
                <c:pt idx="911">
                  <c:v>44558</c:v>
                </c:pt>
                <c:pt idx="912">
                  <c:v>44559</c:v>
                </c:pt>
                <c:pt idx="913">
                  <c:v>44560</c:v>
                </c:pt>
                <c:pt idx="914">
                  <c:v>44561</c:v>
                </c:pt>
                <c:pt idx="915">
                  <c:v>44564</c:v>
                </c:pt>
                <c:pt idx="916">
                  <c:v>44565</c:v>
                </c:pt>
                <c:pt idx="917">
                  <c:v>44566</c:v>
                </c:pt>
                <c:pt idx="918">
                  <c:v>44567</c:v>
                </c:pt>
                <c:pt idx="919">
                  <c:v>44568</c:v>
                </c:pt>
                <c:pt idx="920">
                  <c:v>44571</c:v>
                </c:pt>
                <c:pt idx="921">
                  <c:v>44572</c:v>
                </c:pt>
                <c:pt idx="922">
                  <c:v>44573</c:v>
                </c:pt>
                <c:pt idx="923">
                  <c:v>44574</c:v>
                </c:pt>
                <c:pt idx="924">
                  <c:v>44575</c:v>
                </c:pt>
                <c:pt idx="925">
                  <c:v>44578</c:v>
                </c:pt>
                <c:pt idx="926">
                  <c:v>44579</c:v>
                </c:pt>
                <c:pt idx="927">
                  <c:v>44580</c:v>
                </c:pt>
                <c:pt idx="928">
                  <c:v>44581</c:v>
                </c:pt>
                <c:pt idx="929">
                  <c:v>44582</c:v>
                </c:pt>
                <c:pt idx="930">
                  <c:v>44585</c:v>
                </c:pt>
                <c:pt idx="931">
                  <c:v>44586</c:v>
                </c:pt>
                <c:pt idx="932">
                  <c:v>44588</c:v>
                </c:pt>
                <c:pt idx="933">
                  <c:v>44589</c:v>
                </c:pt>
                <c:pt idx="934">
                  <c:v>44592</c:v>
                </c:pt>
                <c:pt idx="935">
                  <c:v>44593</c:v>
                </c:pt>
                <c:pt idx="936">
                  <c:v>44594</c:v>
                </c:pt>
                <c:pt idx="937">
                  <c:v>44595</c:v>
                </c:pt>
                <c:pt idx="938">
                  <c:v>44596</c:v>
                </c:pt>
                <c:pt idx="939">
                  <c:v>44599</c:v>
                </c:pt>
                <c:pt idx="940">
                  <c:v>44600</c:v>
                </c:pt>
                <c:pt idx="941">
                  <c:v>44601</c:v>
                </c:pt>
                <c:pt idx="942">
                  <c:v>44602</c:v>
                </c:pt>
                <c:pt idx="943">
                  <c:v>44603</c:v>
                </c:pt>
                <c:pt idx="944">
                  <c:v>44606</c:v>
                </c:pt>
                <c:pt idx="945">
                  <c:v>44607</c:v>
                </c:pt>
                <c:pt idx="946">
                  <c:v>44608</c:v>
                </c:pt>
                <c:pt idx="947">
                  <c:v>44609</c:v>
                </c:pt>
                <c:pt idx="948">
                  <c:v>44610</c:v>
                </c:pt>
                <c:pt idx="949">
                  <c:v>44613</c:v>
                </c:pt>
                <c:pt idx="950">
                  <c:v>44614</c:v>
                </c:pt>
                <c:pt idx="951">
                  <c:v>44615</c:v>
                </c:pt>
                <c:pt idx="952">
                  <c:v>44616</c:v>
                </c:pt>
                <c:pt idx="953">
                  <c:v>44617</c:v>
                </c:pt>
                <c:pt idx="954">
                  <c:v>44620</c:v>
                </c:pt>
                <c:pt idx="955">
                  <c:v>44622</c:v>
                </c:pt>
                <c:pt idx="956">
                  <c:v>44623</c:v>
                </c:pt>
                <c:pt idx="957">
                  <c:v>44624</c:v>
                </c:pt>
                <c:pt idx="958">
                  <c:v>44627</c:v>
                </c:pt>
                <c:pt idx="959">
                  <c:v>44628</c:v>
                </c:pt>
                <c:pt idx="960">
                  <c:v>44629</c:v>
                </c:pt>
                <c:pt idx="961">
                  <c:v>44630</c:v>
                </c:pt>
                <c:pt idx="962">
                  <c:v>44631</c:v>
                </c:pt>
                <c:pt idx="963">
                  <c:v>44634</c:v>
                </c:pt>
                <c:pt idx="964">
                  <c:v>44635</c:v>
                </c:pt>
                <c:pt idx="965">
                  <c:v>44636</c:v>
                </c:pt>
                <c:pt idx="966">
                  <c:v>44637</c:v>
                </c:pt>
                <c:pt idx="967">
                  <c:v>44641</c:v>
                </c:pt>
                <c:pt idx="968">
                  <c:v>44642</c:v>
                </c:pt>
                <c:pt idx="969">
                  <c:v>44643</c:v>
                </c:pt>
                <c:pt idx="970">
                  <c:v>44644</c:v>
                </c:pt>
                <c:pt idx="971">
                  <c:v>44645</c:v>
                </c:pt>
                <c:pt idx="972">
                  <c:v>44648</c:v>
                </c:pt>
                <c:pt idx="973">
                  <c:v>44649</c:v>
                </c:pt>
                <c:pt idx="974">
                  <c:v>44650</c:v>
                </c:pt>
                <c:pt idx="975">
                  <c:v>44651</c:v>
                </c:pt>
                <c:pt idx="976">
                  <c:v>44652</c:v>
                </c:pt>
                <c:pt idx="977">
                  <c:v>44655</c:v>
                </c:pt>
                <c:pt idx="978">
                  <c:v>44656</c:v>
                </c:pt>
                <c:pt idx="979">
                  <c:v>44657</c:v>
                </c:pt>
                <c:pt idx="980">
                  <c:v>44658</c:v>
                </c:pt>
                <c:pt idx="981">
                  <c:v>44659</c:v>
                </c:pt>
                <c:pt idx="982">
                  <c:v>44662</c:v>
                </c:pt>
                <c:pt idx="983">
                  <c:v>44663</c:v>
                </c:pt>
                <c:pt idx="984">
                  <c:v>44664</c:v>
                </c:pt>
                <c:pt idx="985">
                  <c:v>44669</c:v>
                </c:pt>
                <c:pt idx="986">
                  <c:v>44670</c:v>
                </c:pt>
                <c:pt idx="987">
                  <c:v>44671</c:v>
                </c:pt>
                <c:pt idx="988">
                  <c:v>44672</c:v>
                </c:pt>
                <c:pt idx="989">
                  <c:v>44673</c:v>
                </c:pt>
                <c:pt idx="990">
                  <c:v>44676</c:v>
                </c:pt>
                <c:pt idx="991">
                  <c:v>44677</c:v>
                </c:pt>
                <c:pt idx="992">
                  <c:v>44678</c:v>
                </c:pt>
                <c:pt idx="993">
                  <c:v>44679</c:v>
                </c:pt>
                <c:pt idx="994">
                  <c:v>44680</c:v>
                </c:pt>
                <c:pt idx="995">
                  <c:v>44683</c:v>
                </c:pt>
                <c:pt idx="996">
                  <c:v>44685</c:v>
                </c:pt>
                <c:pt idx="997">
                  <c:v>44686</c:v>
                </c:pt>
                <c:pt idx="998">
                  <c:v>44687</c:v>
                </c:pt>
                <c:pt idx="999">
                  <c:v>44690</c:v>
                </c:pt>
                <c:pt idx="1000">
                  <c:v>44691</c:v>
                </c:pt>
                <c:pt idx="1001">
                  <c:v>44692</c:v>
                </c:pt>
                <c:pt idx="1002">
                  <c:v>44693</c:v>
                </c:pt>
                <c:pt idx="1003">
                  <c:v>44694</c:v>
                </c:pt>
                <c:pt idx="1004">
                  <c:v>44697</c:v>
                </c:pt>
                <c:pt idx="1005">
                  <c:v>44698</c:v>
                </c:pt>
                <c:pt idx="1006">
                  <c:v>44699</c:v>
                </c:pt>
                <c:pt idx="1007">
                  <c:v>44700</c:v>
                </c:pt>
                <c:pt idx="1008">
                  <c:v>44701</c:v>
                </c:pt>
                <c:pt idx="1009">
                  <c:v>44704</c:v>
                </c:pt>
                <c:pt idx="1010">
                  <c:v>44705</c:v>
                </c:pt>
                <c:pt idx="1011">
                  <c:v>44706</c:v>
                </c:pt>
                <c:pt idx="1012">
                  <c:v>44707</c:v>
                </c:pt>
                <c:pt idx="1013">
                  <c:v>44708</c:v>
                </c:pt>
                <c:pt idx="1014">
                  <c:v>44711</c:v>
                </c:pt>
                <c:pt idx="1015">
                  <c:v>44712</c:v>
                </c:pt>
                <c:pt idx="1016">
                  <c:v>44713</c:v>
                </c:pt>
                <c:pt idx="1017">
                  <c:v>44714</c:v>
                </c:pt>
                <c:pt idx="1018">
                  <c:v>44715</c:v>
                </c:pt>
                <c:pt idx="1019">
                  <c:v>44718</c:v>
                </c:pt>
                <c:pt idx="1020">
                  <c:v>44719</c:v>
                </c:pt>
                <c:pt idx="1021">
                  <c:v>44720</c:v>
                </c:pt>
                <c:pt idx="1022">
                  <c:v>44721</c:v>
                </c:pt>
                <c:pt idx="1023">
                  <c:v>44722</c:v>
                </c:pt>
                <c:pt idx="1024">
                  <c:v>44725</c:v>
                </c:pt>
                <c:pt idx="1025">
                  <c:v>44726</c:v>
                </c:pt>
                <c:pt idx="1026">
                  <c:v>44727</c:v>
                </c:pt>
                <c:pt idx="1027">
                  <c:v>44728</c:v>
                </c:pt>
                <c:pt idx="1028">
                  <c:v>44729</c:v>
                </c:pt>
                <c:pt idx="1029">
                  <c:v>44732</c:v>
                </c:pt>
                <c:pt idx="1030">
                  <c:v>44733</c:v>
                </c:pt>
                <c:pt idx="1031">
                  <c:v>44734</c:v>
                </c:pt>
                <c:pt idx="1032">
                  <c:v>44735</c:v>
                </c:pt>
                <c:pt idx="1033">
                  <c:v>44736</c:v>
                </c:pt>
                <c:pt idx="1034">
                  <c:v>44739</c:v>
                </c:pt>
                <c:pt idx="1035">
                  <c:v>44740</c:v>
                </c:pt>
                <c:pt idx="1036">
                  <c:v>44741</c:v>
                </c:pt>
                <c:pt idx="1037">
                  <c:v>44742</c:v>
                </c:pt>
                <c:pt idx="1038">
                  <c:v>44743</c:v>
                </c:pt>
                <c:pt idx="1039">
                  <c:v>44746</c:v>
                </c:pt>
                <c:pt idx="1040">
                  <c:v>44747</c:v>
                </c:pt>
                <c:pt idx="1041">
                  <c:v>44748</c:v>
                </c:pt>
                <c:pt idx="1042">
                  <c:v>44749</c:v>
                </c:pt>
                <c:pt idx="1043">
                  <c:v>44750</c:v>
                </c:pt>
                <c:pt idx="1044">
                  <c:v>44753</c:v>
                </c:pt>
                <c:pt idx="1045">
                  <c:v>44754</c:v>
                </c:pt>
                <c:pt idx="1046">
                  <c:v>44755</c:v>
                </c:pt>
                <c:pt idx="1047">
                  <c:v>44756</c:v>
                </c:pt>
                <c:pt idx="1048">
                  <c:v>44757</c:v>
                </c:pt>
                <c:pt idx="1049">
                  <c:v>44760</c:v>
                </c:pt>
                <c:pt idx="1050">
                  <c:v>44761</c:v>
                </c:pt>
                <c:pt idx="1051">
                  <c:v>44762</c:v>
                </c:pt>
                <c:pt idx="1052">
                  <c:v>44763</c:v>
                </c:pt>
                <c:pt idx="1053">
                  <c:v>44764</c:v>
                </c:pt>
                <c:pt idx="1054">
                  <c:v>44767</c:v>
                </c:pt>
                <c:pt idx="1055">
                  <c:v>44768</c:v>
                </c:pt>
                <c:pt idx="1056">
                  <c:v>44769</c:v>
                </c:pt>
                <c:pt idx="1057">
                  <c:v>44770</c:v>
                </c:pt>
                <c:pt idx="1058">
                  <c:v>44771</c:v>
                </c:pt>
                <c:pt idx="1059">
                  <c:v>44774</c:v>
                </c:pt>
                <c:pt idx="1060">
                  <c:v>44775</c:v>
                </c:pt>
                <c:pt idx="1061">
                  <c:v>44776</c:v>
                </c:pt>
                <c:pt idx="1062">
                  <c:v>44777</c:v>
                </c:pt>
                <c:pt idx="1063">
                  <c:v>44778</c:v>
                </c:pt>
                <c:pt idx="1064">
                  <c:v>44781</c:v>
                </c:pt>
                <c:pt idx="1065">
                  <c:v>44783</c:v>
                </c:pt>
                <c:pt idx="1066">
                  <c:v>44784</c:v>
                </c:pt>
                <c:pt idx="1067">
                  <c:v>44785</c:v>
                </c:pt>
                <c:pt idx="1068">
                  <c:v>44789</c:v>
                </c:pt>
                <c:pt idx="1069">
                  <c:v>44790</c:v>
                </c:pt>
                <c:pt idx="1070">
                  <c:v>44791</c:v>
                </c:pt>
                <c:pt idx="1071">
                  <c:v>44792</c:v>
                </c:pt>
                <c:pt idx="1072">
                  <c:v>44795</c:v>
                </c:pt>
                <c:pt idx="1073">
                  <c:v>44796</c:v>
                </c:pt>
                <c:pt idx="1074">
                  <c:v>44797</c:v>
                </c:pt>
                <c:pt idx="1075">
                  <c:v>44798</c:v>
                </c:pt>
                <c:pt idx="1076">
                  <c:v>44799</c:v>
                </c:pt>
                <c:pt idx="1077">
                  <c:v>44802</c:v>
                </c:pt>
                <c:pt idx="1078">
                  <c:v>44803</c:v>
                </c:pt>
                <c:pt idx="1079">
                  <c:v>44805</c:v>
                </c:pt>
                <c:pt idx="1080">
                  <c:v>44806</c:v>
                </c:pt>
                <c:pt idx="1081">
                  <c:v>44809</c:v>
                </c:pt>
                <c:pt idx="1082">
                  <c:v>44810</c:v>
                </c:pt>
                <c:pt idx="1083">
                  <c:v>44811</c:v>
                </c:pt>
                <c:pt idx="1084">
                  <c:v>44812</c:v>
                </c:pt>
                <c:pt idx="1085">
                  <c:v>44813</c:v>
                </c:pt>
                <c:pt idx="1086">
                  <c:v>44816</c:v>
                </c:pt>
                <c:pt idx="1087">
                  <c:v>44817</c:v>
                </c:pt>
                <c:pt idx="1088">
                  <c:v>44818</c:v>
                </c:pt>
                <c:pt idx="1089">
                  <c:v>44819</c:v>
                </c:pt>
                <c:pt idx="1090">
                  <c:v>44820</c:v>
                </c:pt>
                <c:pt idx="1091">
                  <c:v>44823</c:v>
                </c:pt>
                <c:pt idx="1092">
                  <c:v>44824</c:v>
                </c:pt>
                <c:pt idx="1093">
                  <c:v>44825</c:v>
                </c:pt>
                <c:pt idx="1094">
                  <c:v>44826</c:v>
                </c:pt>
                <c:pt idx="1095">
                  <c:v>44827</c:v>
                </c:pt>
                <c:pt idx="1096">
                  <c:v>44830</c:v>
                </c:pt>
                <c:pt idx="1097">
                  <c:v>44831</c:v>
                </c:pt>
                <c:pt idx="1098">
                  <c:v>44832</c:v>
                </c:pt>
                <c:pt idx="1099">
                  <c:v>44833</c:v>
                </c:pt>
                <c:pt idx="1100">
                  <c:v>44834</c:v>
                </c:pt>
                <c:pt idx="1101">
                  <c:v>44837</c:v>
                </c:pt>
                <c:pt idx="1102">
                  <c:v>44838</c:v>
                </c:pt>
                <c:pt idx="1103">
                  <c:v>44840</c:v>
                </c:pt>
                <c:pt idx="1104">
                  <c:v>44841</c:v>
                </c:pt>
                <c:pt idx="1105">
                  <c:v>44844</c:v>
                </c:pt>
                <c:pt idx="1106">
                  <c:v>44845</c:v>
                </c:pt>
                <c:pt idx="1107">
                  <c:v>44846</c:v>
                </c:pt>
                <c:pt idx="1108">
                  <c:v>44847</c:v>
                </c:pt>
                <c:pt idx="1109">
                  <c:v>44848</c:v>
                </c:pt>
                <c:pt idx="1110">
                  <c:v>44851</c:v>
                </c:pt>
                <c:pt idx="1111">
                  <c:v>44852</c:v>
                </c:pt>
                <c:pt idx="1112">
                  <c:v>44853</c:v>
                </c:pt>
                <c:pt idx="1113">
                  <c:v>44854</c:v>
                </c:pt>
                <c:pt idx="1114">
                  <c:v>44855</c:v>
                </c:pt>
                <c:pt idx="1115">
                  <c:v>44859</c:v>
                </c:pt>
                <c:pt idx="1116">
                  <c:v>44861</c:v>
                </c:pt>
                <c:pt idx="1117">
                  <c:v>44862</c:v>
                </c:pt>
                <c:pt idx="1118">
                  <c:v>44865</c:v>
                </c:pt>
                <c:pt idx="1119">
                  <c:v>44866</c:v>
                </c:pt>
                <c:pt idx="1120">
                  <c:v>44867</c:v>
                </c:pt>
                <c:pt idx="1121">
                  <c:v>44868</c:v>
                </c:pt>
                <c:pt idx="1122">
                  <c:v>44869</c:v>
                </c:pt>
                <c:pt idx="1123">
                  <c:v>44872</c:v>
                </c:pt>
                <c:pt idx="1124">
                  <c:v>44874</c:v>
                </c:pt>
                <c:pt idx="1125">
                  <c:v>44875</c:v>
                </c:pt>
                <c:pt idx="1126">
                  <c:v>44876</c:v>
                </c:pt>
                <c:pt idx="1127">
                  <c:v>44879</c:v>
                </c:pt>
                <c:pt idx="1128">
                  <c:v>44880</c:v>
                </c:pt>
                <c:pt idx="1129">
                  <c:v>44881</c:v>
                </c:pt>
                <c:pt idx="1130">
                  <c:v>44882</c:v>
                </c:pt>
                <c:pt idx="1131">
                  <c:v>44883</c:v>
                </c:pt>
                <c:pt idx="1132">
                  <c:v>44886</c:v>
                </c:pt>
                <c:pt idx="1133">
                  <c:v>44887</c:v>
                </c:pt>
                <c:pt idx="1134">
                  <c:v>44888</c:v>
                </c:pt>
                <c:pt idx="1135">
                  <c:v>44889</c:v>
                </c:pt>
                <c:pt idx="1136">
                  <c:v>44890</c:v>
                </c:pt>
                <c:pt idx="1137">
                  <c:v>44893</c:v>
                </c:pt>
                <c:pt idx="1138">
                  <c:v>44894</c:v>
                </c:pt>
                <c:pt idx="1139">
                  <c:v>44895</c:v>
                </c:pt>
                <c:pt idx="1140">
                  <c:v>44896</c:v>
                </c:pt>
                <c:pt idx="1141">
                  <c:v>44897</c:v>
                </c:pt>
                <c:pt idx="1142">
                  <c:v>44900</c:v>
                </c:pt>
                <c:pt idx="1143">
                  <c:v>44901</c:v>
                </c:pt>
                <c:pt idx="1144">
                  <c:v>44902</c:v>
                </c:pt>
                <c:pt idx="1145">
                  <c:v>44903</c:v>
                </c:pt>
                <c:pt idx="1146">
                  <c:v>44904</c:v>
                </c:pt>
                <c:pt idx="1147">
                  <c:v>44907</c:v>
                </c:pt>
                <c:pt idx="1148">
                  <c:v>44908</c:v>
                </c:pt>
                <c:pt idx="1149">
                  <c:v>44909</c:v>
                </c:pt>
                <c:pt idx="1150">
                  <c:v>44910</c:v>
                </c:pt>
                <c:pt idx="1151">
                  <c:v>44911</c:v>
                </c:pt>
                <c:pt idx="1152">
                  <c:v>44914</c:v>
                </c:pt>
                <c:pt idx="1153">
                  <c:v>44915</c:v>
                </c:pt>
                <c:pt idx="1154">
                  <c:v>44916</c:v>
                </c:pt>
                <c:pt idx="1155">
                  <c:v>44917</c:v>
                </c:pt>
                <c:pt idx="1156">
                  <c:v>44918</c:v>
                </c:pt>
                <c:pt idx="1157">
                  <c:v>44921</c:v>
                </c:pt>
                <c:pt idx="1158">
                  <c:v>44922</c:v>
                </c:pt>
                <c:pt idx="1159">
                  <c:v>44923</c:v>
                </c:pt>
                <c:pt idx="1160">
                  <c:v>44924</c:v>
                </c:pt>
                <c:pt idx="1161">
                  <c:v>44925</c:v>
                </c:pt>
                <c:pt idx="1162">
                  <c:v>44928</c:v>
                </c:pt>
                <c:pt idx="1163">
                  <c:v>44929</c:v>
                </c:pt>
                <c:pt idx="1164">
                  <c:v>44930</c:v>
                </c:pt>
                <c:pt idx="1165">
                  <c:v>44931</c:v>
                </c:pt>
                <c:pt idx="1166">
                  <c:v>44932</c:v>
                </c:pt>
                <c:pt idx="1167">
                  <c:v>44935</c:v>
                </c:pt>
                <c:pt idx="1168">
                  <c:v>44936</c:v>
                </c:pt>
                <c:pt idx="1169">
                  <c:v>44937</c:v>
                </c:pt>
                <c:pt idx="1170">
                  <c:v>44938</c:v>
                </c:pt>
                <c:pt idx="1171">
                  <c:v>44939</c:v>
                </c:pt>
                <c:pt idx="1172">
                  <c:v>44942</c:v>
                </c:pt>
                <c:pt idx="1173">
                  <c:v>44943</c:v>
                </c:pt>
                <c:pt idx="1174">
                  <c:v>44944</c:v>
                </c:pt>
                <c:pt idx="1175">
                  <c:v>44945</c:v>
                </c:pt>
                <c:pt idx="1176">
                  <c:v>44946</c:v>
                </c:pt>
                <c:pt idx="1177">
                  <c:v>44949</c:v>
                </c:pt>
                <c:pt idx="1178">
                  <c:v>44950</c:v>
                </c:pt>
                <c:pt idx="1179">
                  <c:v>44951</c:v>
                </c:pt>
                <c:pt idx="1180">
                  <c:v>44953</c:v>
                </c:pt>
                <c:pt idx="1181">
                  <c:v>44956</c:v>
                </c:pt>
                <c:pt idx="1182">
                  <c:v>44957</c:v>
                </c:pt>
                <c:pt idx="1183">
                  <c:v>44958</c:v>
                </c:pt>
                <c:pt idx="1184">
                  <c:v>44959</c:v>
                </c:pt>
                <c:pt idx="1185">
                  <c:v>44960</c:v>
                </c:pt>
                <c:pt idx="1186">
                  <c:v>44963</c:v>
                </c:pt>
                <c:pt idx="1187">
                  <c:v>44964</c:v>
                </c:pt>
                <c:pt idx="1188">
                  <c:v>44965</c:v>
                </c:pt>
                <c:pt idx="1189">
                  <c:v>44966</c:v>
                </c:pt>
                <c:pt idx="1190">
                  <c:v>44967</c:v>
                </c:pt>
                <c:pt idx="1191">
                  <c:v>44970</c:v>
                </c:pt>
                <c:pt idx="1192">
                  <c:v>44971</c:v>
                </c:pt>
                <c:pt idx="1193">
                  <c:v>44972</c:v>
                </c:pt>
                <c:pt idx="1194">
                  <c:v>44973</c:v>
                </c:pt>
                <c:pt idx="1195">
                  <c:v>44974</c:v>
                </c:pt>
                <c:pt idx="1196">
                  <c:v>44977</c:v>
                </c:pt>
                <c:pt idx="1197">
                  <c:v>44978</c:v>
                </c:pt>
                <c:pt idx="1198">
                  <c:v>44979</c:v>
                </c:pt>
                <c:pt idx="1199">
                  <c:v>44980</c:v>
                </c:pt>
                <c:pt idx="1200">
                  <c:v>44981</c:v>
                </c:pt>
                <c:pt idx="1201">
                  <c:v>44984</c:v>
                </c:pt>
                <c:pt idx="1202">
                  <c:v>44985</c:v>
                </c:pt>
                <c:pt idx="1203">
                  <c:v>44986</c:v>
                </c:pt>
                <c:pt idx="1204">
                  <c:v>44987</c:v>
                </c:pt>
                <c:pt idx="1205">
                  <c:v>44988</c:v>
                </c:pt>
                <c:pt idx="1206">
                  <c:v>44991</c:v>
                </c:pt>
                <c:pt idx="1207">
                  <c:v>44993</c:v>
                </c:pt>
                <c:pt idx="1208">
                  <c:v>44994</c:v>
                </c:pt>
                <c:pt idx="1209">
                  <c:v>44995</c:v>
                </c:pt>
                <c:pt idx="1210">
                  <c:v>44998</c:v>
                </c:pt>
                <c:pt idx="1211">
                  <c:v>44999</c:v>
                </c:pt>
                <c:pt idx="1212">
                  <c:v>45000</c:v>
                </c:pt>
                <c:pt idx="1213">
                  <c:v>45001</c:v>
                </c:pt>
                <c:pt idx="1214">
                  <c:v>45002</c:v>
                </c:pt>
                <c:pt idx="1215">
                  <c:v>45005</c:v>
                </c:pt>
                <c:pt idx="1216">
                  <c:v>45006</c:v>
                </c:pt>
                <c:pt idx="1217">
                  <c:v>45007</c:v>
                </c:pt>
                <c:pt idx="1218">
                  <c:v>45008</c:v>
                </c:pt>
                <c:pt idx="1219">
                  <c:v>45009</c:v>
                </c:pt>
                <c:pt idx="1220">
                  <c:v>45012</c:v>
                </c:pt>
                <c:pt idx="1221">
                  <c:v>45013</c:v>
                </c:pt>
                <c:pt idx="1222">
                  <c:v>45014</c:v>
                </c:pt>
                <c:pt idx="1223">
                  <c:v>45016</c:v>
                </c:pt>
                <c:pt idx="1224">
                  <c:v>45019</c:v>
                </c:pt>
                <c:pt idx="1225">
                  <c:v>45021</c:v>
                </c:pt>
                <c:pt idx="1226">
                  <c:v>45022</c:v>
                </c:pt>
                <c:pt idx="1227">
                  <c:v>45026</c:v>
                </c:pt>
                <c:pt idx="1228">
                  <c:v>45027</c:v>
                </c:pt>
                <c:pt idx="1229">
                  <c:v>45028</c:v>
                </c:pt>
                <c:pt idx="1230">
                  <c:v>45029</c:v>
                </c:pt>
                <c:pt idx="1231">
                  <c:v>45033</c:v>
                </c:pt>
                <c:pt idx="1232">
                  <c:v>45034</c:v>
                </c:pt>
                <c:pt idx="1233">
                  <c:v>45035</c:v>
                </c:pt>
                <c:pt idx="1234">
                  <c:v>45036</c:v>
                </c:pt>
                <c:pt idx="1235">
                  <c:v>45037</c:v>
                </c:pt>
                <c:pt idx="1236">
                  <c:v>45040</c:v>
                </c:pt>
                <c:pt idx="1237">
                  <c:v>45041</c:v>
                </c:pt>
                <c:pt idx="1238">
                  <c:v>45042</c:v>
                </c:pt>
                <c:pt idx="1239">
                  <c:v>45043</c:v>
                </c:pt>
                <c:pt idx="1240">
                  <c:v>45044</c:v>
                </c:pt>
                <c:pt idx="1241">
                  <c:v>45048</c:v>
                </c:pt>
                <c:pt idx="1242">
                  <c:v>45049</c:v>
                </c:pt>
                <c:pt idx="1243">
                  <c:v>45050</c:v>
                </c:pt>
                <c:pt idx="1244">
                  <c:v>45051</c:v>
                </c:pt>
                <c:pt idx="1245">
                  <c:v>45054</c:v>
                </c:pt>
                <c:pt idx="1246">
                  <c:v>45055</c:v>
                </c:pt>
                <c:pt idx="1247">
                  <c:v>45056</c:v>
                </c:pt>
                <c:pt idx="1248">
                  <c:v>45057</c:v>
                </c:pt>
                <c:pt idx="1249">
                  <c:v>45058</c:v>
                </c:pt>
                <c:pt idx="1250">
                  <c:v>45061</c:v>
                </c:pt>
                <c:pt idx="1251">
                  <c:v>45062</c:v>
                </c:pt>
                <c:pt idx="1252">
                  <c:v>45063</c:v>
                </c:pt>
                <c:pt idx="1253">
                  <c:v>45064</c:v>
                </c:pt>
                <c:pt idx="1254">
                  <c:v>45065</c:v>
                </c:pt>
                <c:pt idx="1255">
                  <c:v>45068</c:v>
                </c:pt>
                <c:pt idx="1256">
                  <c:v>45069</c:v>
                </c:pt>
                <c:pt idx="1257">
                  <c:v>45070</c:v>
                </c:pt>
                <c:pt idx="1258">
                  <c:v>45071</c:v>
                </c:pt>
                <c:pt idx="1259">
                  <c:v>45072</c:v>
                </c:pt>
                <c:pt idx="1260">
                  <c:v>45075</c:v>
                </c:pt>
                <c:pt idx="1261">
                  <c:v>45076</c:v>
                </c:pt>
                <c:pt idx="1262">
                  <c:v>45077</c:v>
                </c:pt>
                <c:pt idx="1263">
                  <c:v>45078</c:v>
                </c:pt>
                <c:pt idx="1264">
                  <c:v>45079</c:v>
                </c:pt>
                <c:pt idx="1265">
                  <c:v>45082</c:v>
                </c:pt>
                <c:pt idx="1266">
                  <c:v>45083</c:v>
                </c:pt>
                <c:pt idx="1267">
                  <c:v>45084</c:v>
                </c:pt>
                <c:pt idx="1268">
                  <c:v>45085</c:v>
                </c:pt>
                <c:pt idx="1269">
                  <c:v>45086</c:v>
                </c:pt>
                <c:pt idx="1270">
                  <c:v>45089</c:v>
                </c:pt>
                <c:pt idx="1271">
                  <c:v>45090</c:v>
                </c:pt>
                <c:pt idx="1272">
                  <c:v>45091</c:v>
                </c:pt>
                <c:pt idx="1273">
                  <c:v>45092</c:v>
                </c:pt>
                <c:pt idx="1274">
                  <c:v>45093</c:v>
                </c:pt>
                <c:pt idx="1275">
                  <c:v>45096</c:v>
                </c:pt>
                <c:pt idx="1276">
                  <c:v>45097</c:v>
                </c:pt>
                <c:pt idx="1277">
                  <c:v>45098</c:v>
                </c:pt>
                <c:pt idx="1278">
                  <c:v>45099</c:v>
                </c:pt>
                <c:pt idx="1279">
                  <c:v>45100</c:v>
                </c:pt>
                <c:pt idx="1280">
                  <c:v>45103</c:v>
                </c:pt>
                <c:pt idx="1281">
                  <c:v>45104</c:v>
                </c:pt>
                <c:pt idx="1282">
                  <c:v>45105</c:v>
                </c:pt>
                <c:pt idx="1283">
                  <c:v>45107</c:v>
                </c:pt>
                <c:pt idx="1284">
                  <c:v>45110</c:v>
                </c:pt>
                <c:pt idx="1285">
                  <c:v>45111</c:v>
                </c:pt>
                <c:pt idx="1286">
                  <c:v>45112</c:v>
                </c:pt>
                <c:pt idx="1287">
                  <c:v>45113</c:v>
                </c:pt>
                <c:pt idx="1288">
                  <c:v>45114</c:v>
                </c:pt>
                <c:pt idx="1289">
                  <c:v>45117</c:v>
                </c:pt>
                <c:pt idx="1290">
                  <c:v>45118</c:v>
                </c:pt>
                <c:pt idx="1291">
                  <c:v>45119</c:v>
                </c:pt>
                <c:pt idx="1292">
                  <c:v>45120</c:v>
                </c:pt>
                <c:pt idx="1293">
                  <c:v>45121</c:v>
                </c:pt>
                <c:pt idx="1294">
                  <c:v>45124</c:v>
                </c:pt>
                <c:pt idx="1295">
                  <c:v>45125</c:v>
                </c:pt>
                <c:pt idx="1296">
                  <c:v>45126</c:v>
                </c:pt>
                <c:pt idx="1297">
                  <c:v>45127</c:v>
                </c:pt>
                <c:pt idx="1298">
                  <c:v>45128</c:v>
                </c:pt>
                <c:pt idx="1299">
                  <c:v>45131</c:v>
                </c:pt>
                <c:pt idx="1300">
                  <c:v>45132</c:v>
                </c:pt>
                <c:pt idx="1301">
                  <c:v>45133</c:v>
                </c:pt>
                <c:pt idx="1302">
                  <c:v>45134</c:v>
                </c:pt>
                <c:pt idx="1303">
                  <c:v>45135</c:v>
                </c:pt>
                <c:pt idx="1304">
                  <c:v>45138</c:v>
                </c:pt>
                <c:pt idx="1305">
                  <c:v>45139</c:v>
                </c:pt>
                <c:pt idx="1306">
                  <c:v>45140</c:v>
                </c:pt>
                <c:pt idx="1307">
                  <c:v>45141</c:v>
                </c:pt>
                <c:pt idx="1308">
                  <c:v>45142</c:v>
                </c:pt>
                <c:pt idx="1309">
                  <c:v>45145</c:v>
                </c:pt>
                <c:pt idx="1310">
                  <c:v>45146</c:v>
                </c:pt>
                <c:pt idx="1311">
                  <c:v>45147</c:v>
                </c:pt>
                <c:pt idx="1312">
                  <c:v>45148</c:v>
                </c:pt>
                <c:pt idx="1313">
                  <c:v>45149</c:v>
                </c:pt>
                <c:pt idx="1314">
                  <c:v>45152</c:v>
                </c:pt>
                <c:pt idx="1315">
                  <c:v>45154</c:v>
                </c:pt>
                <c:pt idx="1316">
                  <c:v>45155</c:v>
                </c:pt>
                <c:pt idx="1317">
                  <c:v>45156</c:v>
                </c:pt>
                <c:pt idx="1318">
                  <c:v>45159</c:v>
                </c:pt>
                <c:pt idx="1319">
                  <c:v>45160</c:v>
                </c:pt>
                <c:pt idx="1320">
                  <c:v>45161</c:v>
                </c:pt>
                <c:pt idx="1321">
                  <c:v>45162</c:v>
                </c:pt>
                <c:pt idx="1322">
                  <c:v>45163</c:v>
                </c:pt>
                <c:pt idx="1323">
                  <c:v>45166</c:v>
                </c:pt>
                <c:pt idx="1324">
                  <c:v>45167</c:v>
                </c:pt>
                <c:pt idx="1325">
                  <c:v>45168</c:v>
                </c:pt>
                <c:pt idx="1326">
                  <c:v>45169</c:v>
                </c:pt>
                <c:pt idx="1327">
                  <c:v>45170</c:v>
                </c:pt>
                <c:pt idx="1328">
                  <c:v>45173</c:v>
                </c:pt>
                <c:pt idx="1329">
                  <c:v>45174</c:v>
                </c:pt>
                <c:pt idx="1330">
                  <c:v>45175</c:v>
                </c:pt>
                <c:pt idx="1331">
                  <c:v>45176</c:v>
                </c:pt>
                <c:pt idx="1332">
                  <c:v>45177</c:v>
                </c:pt>
                <c:pt idx="1333">
                  <c:v>45180</c:v>
                </c:pt>
                <c:pt idx="1334">
                  <c:v>45181</c:v>
                </c:pt>
                <c:pt idx="1335">
                  <c:v>45182</c:v>
                </c:pt>
                <c:pt idx="1336">
                  <c:v>45183</c:v>
                </c:pt>
                <c:pt idx="1337">
                  <c:v>45184</c:v>
                </c:pt>
                <c:pt idx="1338">
                  <c:v>45187</c:v>
                </c:pt>
                <c:pt idx="1339">
                  <c:v>45189</c:v>
                </c:pt>
                <c:pt idx="1340">
                  <c:v>45190</c:v>
                </c:pt>
                <c:pt idx="1341">
                  <c:v>45191</c:v>
                </c:pt>
                <c:pt idx="1342">
                  <c:v>45194</c:v>
                </c:pt>
                <c:pt idx="1343">
                  <c:v>45195</c:v>
                </c:pt>
                <c:pt idx="1344">
                  <c:v>45196</c:v>
                </c:pt>
                <c:pt idx="1345">
                  <c:v>45198</c:v>
                </c:pt>
                <c:pt idx="1346">
                  <c:v>45202</c:v>
                </c:pt>
                <c:pt idx="1347">
                  <c:v>45203</c:v>
                </c:pt>
                <c:pt idx="1348">
                  <c:v>45204</c:v>
                </c:pt>
                <c:pt idx="1349">
                  <c:v>45205</c:v>
                </c:pt>
                <c:pt idx="1350">
                  <c:v>45208</c:v>
                </c:pt>
                <c:pt idx="1351">
                  <c:v>45209</c:v>
                </c:pt>
                <c:pt idx="1352">
                  <c:v>45210</c:v>
                </c:pt>
                <c:pt idx="1353">
                  <c:v>45211</c:v>
                </c:pt>
                <c:pt idx="1354">
                  <c:v>45212</c:v>
                </c:pt>
                <c:pt idx="1355">
                  <c:v>45215</c:v>
                </c:pt>
                <c:pt idx="1356">
                  <c:v>45216</c:v>
                </c:pt>
                <c:pt idx="1357">
                  <c:v>45217</c:v>
                </c:pt>
                <c:pt idx="1358">
                  <c:v>45218</c:v>
                </c:pt>
                <c:pt idx="1359">
                  <c:v>45219</c:v>
                </c:pt>
                <c:pt idx="1360">
                  <c:v>45222</c:v>
                </c:pt>
                <c:pt idx="1361">
                  <c:v>45224</c:v>
                </c:pt>
                <c:pt idx="1362">
                  <c:v>45225</c:v>
                </c:pt>
                <c:pt idx="1363">
                  <c:v>45226</c:v>
                </c:pt>
                <c:pt idx="1364">
                  <c:v>45229</c:v>
                </c:pt>
                <c:pt idx="1365">
                  <c:v>45230</c:v>
                </c:pt>
                <c:pt idx="1366">
                  <c:v>45231</c:v>
                </c:pt>
                <c:pt idx="1367">
                  <c:v>45232</c:v>
                </c:pt>
                <c:pt idx="1368">
                  <c:v>45233</c:v>
                </c:pt>
                <c:pt idx="1369">
                  <c:v>45236</c:v>
                </c:pt>
                <c:pt idx="1370">
                  <c:v>45237</c:v>
                </c:pt>
                <c:pt idx="1371">
                  <c:v>45238</c:v>
                </c:pt>
                <c:pt idx="1372">
                  <c:v>45239</c:v>
                </c:pt>
                <c:pt idx="1373">
                  <c:v>45240</c:v>
                </c:pt>
                <c:pt idx="1374">
                  <c:v>45243</c:v>
                </c:pt>
                <c:pt idx="1375">
                  <c:v>45245</c:v>
                </c:pt>
                <c:pt idx="1376">
                  <c:v>45246</c:v>
                </c:pt>
                <c:pt idx="1377">
                  <c:v>45247</c:v>
                </c:pt>
                <c:pt idx="1378">
                  <c:v>45250</c:v>
                </c:pt>
                <c:pt idx="1379">
                  <c:v>45251</c:v>
                </c:pt>
                <c:pt idx="1380">
                  <c:v>45252</c:v>
                </c:pt>
                <c:pt idx="1381">
                  <c:v>45253</c:v>
                </c:pt>
                <c:pt idx="1382">
                  <c:v>45254</c:v>
                </c:pt>
                <c:pt idx="1383">
                  <c:v>45258</c:v>
                </c:pt>
                <c:pt idx="1384">
                  <c:v>45259</c:v>
                </c:pt>
                <c:pt idx="1385">
                  <c:v>45260</c:v>
                </c:pt>
                <c:pt idx="1386">
                  <c:v>45261</c:v>
                </c:pt>
                <c:pt idx="1387">
                  <c:v>45264</c:v>
                </c:pt>
                <c:pt idx="1388">
                  <c:v>45265</c:v>
                </c:pt>
                <c:pt idx="1389">
                  <c:v>45266</c:v>
                </c:pt>
                <c:pt idx="1390">
                  <c:v>45267</c:v>
                </c:pt>
                <c:pt idx="1391">
                  <c:v>45268</c:v>
                </c:pt>
                <c:pt idx="1392">
                  <c:v>45271</c:v>
                </c:pt>
                <c:pt idx="1393">
                  <c:v>45272</c:v>
                </c:pt>
                <c:pt idx="1394">
                  <c:v>45273</c:v>
                </c:pt>
                <c:pt idx="1395">
                  <c:v>45274</c:v>
                </c:pt>
                <c:pt idx="1396">
                  <c:v>45275</c:v>
                </c:pt>
                <c:pt idx="1397">
                  <c:v>45278</c:v>
                </c:pt>
                <c:pt idx="1398">
                  <c:v>45279</c:v>
                </c:pt>
                <c:pt idx="1399">
                  <c:v>45280</c:v>
                </c:pt>
                <c:pt idx="1400">
                  <c:v>45281</c:v>
                </c:pt>
                <c:pt idx="1401">
                  <c:v>45282</c:v>
                </c:pt>
                <c:pt idx="1402">
                  <c:v>45286</c:v>
                </c:pt>
                <c:pt idx="1403">
                  <c:v>45287</c:v>
                </c:pt>
                <c:pt idx="1404">
                  <c:v>45288</c:v>
                </c:pt>
                <c:pt idx="1405">
                  <c:v>45289</c:v>
                </c:pt>
                <c:pt idx="1406">
                  <c:v>45292</c:v>
                </c:pt>
                <c:pt idx="1407">
                  <c:v>45293</c:v>
                </c:pt>
                <c:pt idx="1408">
                  <c:v>45294</c:v>
                </c:pt>
                <c:pt idx="1409">
                  <c:v>45295</c:v>
                </c:pt>
                <c:pt idx="1410">
                  <c:v>45296</c:v>
                </c:pt>
                <c:pt idx="1411">
                  <c:v>45299</c:v>
                </c:pt>
                <c:pt idx="1412">
                  <c:v>45300</c:v>
                </c:pt>
                <c:pt idx="1413">
                  <c:v>45301</c:v>
                </c:pt>
                <c:pt idx="1414">
                  <c:v>45302</c:v>
                </c:pt>
                <c:pt idx="1415">
                  <c:v>45303</c:v>
                </c:pt>
                <c:pt idx="1416">
                  <c:v>45306</c:v>
                </c:pt>
                <c:pt idx="1417">
                  <c:v>45307</c:v>
                </c:pt>
                <c:pt idx="1418">
                  <c:v>45308</c:v>
                </c:pt>
                <c:pt idx="1419">
                  <c:v>45309</c:v>
                </c:pt>
                <c:pt idx="1420">
                  <c:v>45310</c:v>
                </c:pt>
                <c:pt idx="1421">
                  <c:v>45314</c:v>
                </c:pt>
                <c:pt idx="1422">
                  <c:v>45315</c:v>
                </c:pt>
                <c:pt idx="1423">
                  <c:v>45316</c:v>
                </c:pt>
                <c:pt idx="1424">
                  <c:v>45320</c:v>
                </c:pt>
                <c:pt idx="1425">
                  <c:v>45321</c:v>
                </c:pt>
                <c:pt idx="1426">
                  <c:v>45322</c:v>
                </c:pt>
                <c:pt idx="1427">
                  <c:v>45323</c:v>
                </c:pt>
                <c:pt idx="1428">
                  <c:v>45324</c:v>
                </c:pt>
                <c:pt idx="1429">
                  <c:v>45327</c:v>
                </c:pt>
                <c:pt idx="1430">
                  <c:v>45328</c:v>
                </c:pt>
                <c:pt idx="1431">
                  <c:v>45329</c:v>
                </c:pt>
                <c:pt idx="1432">
                  <c:v>45330</c:v>
                </c:pt>
                <c:pt idx="1433">
                  <c:v>45331</c:v>
                </c:pt>
                <c:pt idx="1434">
                  <c:v>45334</c:v>
                </c:pt>
                <c:pt idx="1435">
                  <c:v>45335</c:v>
                </c:pt>
                <c:pt idx="1436">
                  <c:v>45336</c:v>
                </c:pt>
                <c:pt idx="1437">
                  <c:v>45337</c:v>
                </c:pt>
                <c:pt idx="1438">
                  <c:v>45338</c:v>
                </c:pt>
                <c:pt idx="1439">
                  <c:v>45341</c:v>
                </c:pt>
                <c:pt idx="1440">
                  <c:v>45342</c:v>
                </c:pt>
                <c:pt idx="1441">
                  <c:v>45343</c:v>
                </c:pt>
                <c:pt idx="1442">
                  <c:v>45344</c:v>
                </c:pt>
                <c:pt idx="1443">
                  <c:v>45345</c:v>
                </c:pt>
                <c:pt idx="1444">
                  <c:v>45348</c:v>
                </c:pt>
                <c:pt idx="1445">
                  <c:v>45349</c:v>
                </c:pt>
                <c:pt idx="1446">
                  <c:v>45350</c:v>
                </c:pt>
                <c:pt idx="1447">
                  <c:v>45351</c:v>
                </c:pt>
                <c:pt idx="1448">
                  <c:v>45352</c:v>
                </c:pt>
                <c:pt idx="1449">
                  <c:v>45355</c:v>
                </c:pt>
                <c:pt idx="1450">
                  <c:v>45356</c:v>
                </c:pt>
                <c:pt idx="1451">
                  <c:v>45357</c:v>
                </c:pt>
                <c:pt idx="1452">
                  <c:v>45358</c:v>
                </c:pt>
                <c:pt idx="1453">
                  <c:v>45362</c:v>
                </c:pt>
                <c:pt idx="1454">
                  <c:v>45363</c:v>
                </c:pt>
                <c:pt idx="1455">
                  <c:v>45364</c:v>
                </c:pt>
                <c:pt idx="1456">
                  <c:v>45365</c:v>
                </c:pt>
                <c:pt idx="1457">
                  <c:v>45366</c:v>
                </c:pt>
                <c:pt idx="1458">
                  <c:v>45369</c:v>
                </c:pt>
                <c:pt idx="1459">
                  <c:v>45370</c:v>
                </c:pt>
                <c:pt idx="1460">
                  <c:v>45371</c:v>
                </c:pt>
                <c:pt idx="1461">
                  <c:v>45372</c:v>
                </c:pt>
                <c:pt idx="1462">
                  <c:v>45373</c:v>
                </c:pt>
                <c:pt idx="1463">
                  <c:v>45377</c:v>
                </c:pt>
                <c:pt idx="1464">
                  <c:v>45378</c:v>
                </c:pt>
                <c:pt idx="1465">
                  <c:v>45379</c:v>
                </c:pt>
                <c:pt idx="1466">
                  <c:v>45382</c:v>
                </c:pt>
                <c:pt idx="1467">
                  <c:v>45383</c:v>
                </c:pt>
                <c:pt idx="1468">
                  <c:v>45384</c:v>
                </c:pt>
                <c:pt idx="1469">
                  <c:v>45385</c:v>
                </c:pt>
                <c:pt idx="1470">
                  <c:v>45386</c:v>
                </c:pt>
                <c:pt idx="1471">
                  <c:v>45387</c:v>
                </c:pt>
                <c:pt idx="1472">
                  <c:v>45390</c:v>
                </c:pt>
                <c:pt idx="1473">
                  <c:v>45391</c:v>
                </c:pt>
                <c:pt idx="1474">
                  <c:v>45392</c:v>
                </c:pt>
                <c:pt idx="1475">
                  <c:v>45394</c:v>
                </c:pt>
                <c:pt idx="1476">
                  <c:v>45397</c:v>
                </c:pt>
                <c:pt idx="1477">
                  <c:v>45398</c:v>
                </c:pt>
                <c:pt idx="1478">
                  <c:v>45400</c:v>
                </c:pt>
                <c:pt idx="1479">
                  <c:v>45401</c:v>
                </c:pt>
                <c:pt idx="1480">
                  <c:v>45404</c:v>
                </c:pt>
                <c:pt idx="1481">
                  <c:v>45405</c:v>
                </c:pt>
                <c:pt idx="1482">
                  <c:v>45406</c:v>
                </c:pt>
                <c:pt idx="1483">
                  <c:v>45407</c:v>
                </c:pt>
                <c:pt idx="1484">
                  <c:v>45408</c:v>
                </c:pt>
                <c:pt idx="1485">
                  <c:v>45411</c:v>
                </c:pt>
                <c:pt idx="1486">
                  <c:v>45412</c:v>
                </c:pt>
                <c:pt idx="1487">
                  <c:v>45414</c:v>
                </c:pt>
                <c:pt idx="1488">
                  <c:v>45415</c:v>
                </c:pt>
                <c:pt idx="1489">
                  <c:v>45418</c:v>
                </c:pt>
                <c:pt idx="1490">
                  <c:v>45419</c:v>
                </c:pt>
                <c:pt idx="1491">
                  <c:v>45420</c:v>
                </c:pt>
                <c:pt idx="1492">
                  <c:v>45421</c:v>
                </c:pt>
                <c:pt idx="1493">
                  <c:v>45422</c:v>
                </c:pt>
                <c:pt idx="1494">
                  <c:v>45425</c:v>
                </c:pt>
                <c:pt idx="1495">
                  <c:v>45426</c:v>
                </c:pt>
                <c:pt idx="1496">
                  <c:v>45427</c:v>
                </c:pt>
                <c:pt idx="1497">
                  <c:v>45428</c:v>
                </c:pt>
                <c:pt idx="1498">
                  <c:v>45429</c:v>
                </c:pt>
                <c:pt idx="1499">
                  <c:v>45433</c:v>
                </c:pt>
                <c:pt idx="1500">
                  <c:v>45434</c:v>
                </c:pt>
                <c:pt idx="1501">
                  <c:v>45435</c:v>
                </c:pt>
                <c:pt idx="1502">
                  <c:v>45436</c:v>
                </c:pt>
                <c:pt idx="1503">
                  <c:v>45439</c:v>
                </c:pt>
                <c:pt idx="1504">
                  <c:v>45440</c:v>
                </c:pt>
                <c:pt idx="1505">
                  <c:v>45441</c:v>
                </c:pt>
                <c:pt idx="1506">
                  <c:v>45442</c:v>
                </c:pt>
                <c:pt idx="1507">
                  <c:v>45443</c:v>
                </c:pt>
                <c:pt idx="1508">
                  <c:v>45446</c:v>
                </c:pt>
                <c:pt idx="1509">
                  <c:v>45447</c:v>
                </c:pt>
                <c:pt idx="1510">
                  <c:v>45448</c:v>
                </c:pt>
                <c:pt idx="1511">
                  <c:v>45449</c:v>
                </c:pt>
                <c:pt idx="1512">
                  <c:v>45450</c:v>
                </c:pt>
                <c:pt idx="1513">
                  <c:v>45453</c:v>
                </c:pt>
                <c:pt idx="1514">
                  <c:v>45454</c:v>
                </c:pt>
                <c:pt idx="1515">
                  <c:v>45455</c:v>
                </c:pt>
                <c:pt idx="1516">
                  <c:v>45456</c:v>
                </c:pt>
                <c:pt idx="1517">
                  <c:v>45457</c:v>
                </c:pt>
                <c:pt idx="1518">
                  <c:v>45461</c:v>
                </c:pt>
                <c:pt idx="1519">
                  <c:v>45462</c:v>
                </c:pt>
                <c:pt idx="1520">
                  <c:v>45463</c:v>
                </c:pt>
                <c:pt idx="1521">
                  <c:v>45464</c:v>
                </c:pt>
                <c:pt idx="1522">
                  <c:v>45467</c:v>
                </c:pt>
                <c:pt idx="1523">
                  <c:v>45468</c:v>
                </c:pt>
                <c:pt idx="1524">
                  <c:v>45469</c:v>
                </c:pt>
                <c:pt idx="1525">
                  <c:v>45470</c:v>
                </c:pt>
                <c:pt idx="1526">
                  <c:v>45471</c:v>
                </c:pt>
                <c:pt idx="1527">
                  <c:v>45474</c:v>
                </c:pt>
                <c:pt idx="1528">
                  <c:v>45475</c:v>
                </c:pt>
                <c:pt idx="1529">
                  <c:v>45476</c:v>
                </c:pt>
                <c:pt idx="1530">
                  <c:v>45477</c:v>
                </c:pt>
                <c:pt idx="1531">
                  <c:v>45478</c:v>
                </c:pt>
                <c:pt idx="1532">
                  <c:v>45481</c:v>
                </c:pt>
                <c:pt idx="1533">
                  <c:v>45482</c:v>
                </c:pt>
                <c:pt idx="1534">
                  <c:v>45483</c:v>
                </c:pt>
                <c:pt idx="1535">
                  <c:v>45484</c:v>
                </c:pt>
                <c:pt idx="1536">
                  <c:v>45485</c:v>
                </c:pt>
                <c:pt idx="1537">
                  <c:v>45488</c:v>
                </c:pt>
                <c:pt idx="1538">
                  <c:v>45489</c:v>
                </c:pt>
                <c:pt idx="1539">
                  <c:v>45491</c:v>
                </c:pt>
                <c:pt idx="1540">
                  <c:v>45492</c:v>
                </c:pt>
                <c:pt idx="1541">
                  <c:v>45495</c:v>
                </c:pt>
                <c:pt idx="1542">
                  <c:v>45496</c:v>
                </c:pt>
                <c:pt idx="1543">
                  <c:v>45497</c:v>
                </c:pt>
                <c:pt idx="1544">
                  <c:v>45498</c:v>
                </c:pt>
                <c:pt idx="1545">
                  <c:v>45499</c:v>
                </c:pt>
                <c:pt idx="1546">
                  <c:v>45502</c:v>
                </c:pt>
                <c:pt idx="1547">
                  <c:v>45503</c:v>
                </c:pt>
                <c:pt idx="1548">
                  <c:v>45504</c:v>
                </c:pt>
                <c:pt idx="1549">
                  <c:v>45505</c:v>
                </c:pt>
                <c:pt idx="1550">
                  <c:v>45506</c:v>
                </c:pt>
                <c:pt idx="1551">
                  <c:v>45509</c:v>
                </c:pt>
                <c:pt idx="1552">
                  <c:v>45510</c:v>
                </c:pt>
                <c:pt idx="1553">
                  <c:v>45511</c:v>
                </c:pt>
                <c:pt idx="1554">
                  <c:v>45512</c:v>
                </c:pt>
                <c:pt idx="1555">
                  <c:v>45513</c:v>
                </c:pt>
                <c:pt idx="1556">
                  <c:v>45516</c:v>
                </c:pt>
                <c:pt idx="1557">
                  <c:v>45517</c:v>
                </c:pt>
                <c:pt idx="1558">
                  <c:v>45518</c:v>
                </c:pt>
                <c:pt idx="1559">
                  <c:v>45520</c:v>
                </c:pt>
                <c:pt idx="1560">
                  <c:v>45523</c:v>
                </c:pt>
                <c:pt idx="1561">
                  <c:v>45524</c:v>
                </c:pt>
                <c:pt idx="1562">
                  <c:v>45525</c:v>
                </c:pt>
                <c:pt idx="1563">
                  <c:v>45526</c:v>
                </c:pt>
                <c:pt idx="1564">
                  <c:v>45527</c:v>
                </c:pt>
                <c:pt idx="1565">
                  <c:v>45530</c:v>
                </c:pt>
                <c:pt idx="1566">
                  <c:v>45531</c:v>
                </c:pt>
                <c:pt idx="1567">
                  <c:v>45532</c:v>
                </c:pt>
                <c:pt idx="1568">
                  <c:v>45533</c:v>
                </c:pt>
                <c:pt idx="1569">
                  <c:v>45534</c:v>
                </c:pt>
                <c:pt idx="1570">
                  <c:v>45537</c:v>
                </c:pt>
                <c:pt idx="1571">
                  <c:v>45538</c:v>
                </c:pt>
                <c:pt idx="1572">
                  <c:v>45539</c:v>
                </c:pt>
                <c:pt idx="1573">
                  <c:v>45540</c:v>
                </c:pt>
                <c:pt idx="1574">
                  <c:v>45541</c:v>
                </c:pt>
                <c:pt idx="1575">
                  <c:v>45544</c:v>
                </c:pt>
                <c:pt idx="1576">
                  <c:v>45545</c:v>
                </c:pt>
                <c:pt idx="1577">
                  <c:v>45546</c:v>
                </c:pt>
                <c:pt idx="1578">
                  <c:v>45547</c:v>
                </c:pt>
                <c:pt idx="1579">
                  <c:v>45548</c:v>
                </c:pt>
                <c:pt idx="1580">
                  <c:v>45551</c:v>
                </c:pt>
                <c:pt idx="1581">
                  <c:v>45552</c:v>
                </c:pt>
                <c:pt idx="1582">
                  <c:v>45553</c:v>
                </c:pt>
                <c:pt idx="1583">
                  <c:v>45554</c:v>
                </c:pt>
                <c:pt idx="1584">
                  <c:v>45555</c:v>
                </c:pt>
                <c:pt idx="1585">
                  <c:v>45558</c:v>
                </c:pt>
                <c:pt idx="1586">
                  <c:v>45559</c:v>
                </c:pt>
                <c:pt idx="1587">
                  <c:v>45560</c:v>
                </c:pt>
                <c:pt idx="1588">
                  <c:v>45561</c:v>
                </c:pt>
                <c:pt idx="1589">
                  <c:v>45562</c:v>
                </c:pt>
                <c:pt idx="1590">
                  <c:v>45565</c:v>
                </c:pt>
                <c:pt idx="1591">
                  <c:v>45566</c:v>
                </c:pt>
                <c:pt idx="1592">
                  <c:v>45568</c:v>
                </c:pt>
                <c:pt idx="1593">
                  <c:v>45569</c:v>
                </c:pt>
                <c:pt idx="1594">
                  <c:v>45572</c:v>
                </c:pt>
                <c:pt idx="1595">
                  <c:v>45573</c:v>
                </c:pt>
                <c:pt idx="1596">
                  <c:v>45574</c:v>
                </c:pt>
                <c:pt idx="1597">
                  <c:v>45575</c:v>
                </c:pt>
                <c:pt idx="1598">
                  <c:v>45576</c:v>
                </c:pt>
                <c:pt idx="1599">
                  <c:v>45579</c:v>
                </c:pt>
                <c:pt idx="1600">
                  <c:v>45580</c:v>
                </c:pt>
                <c:pt idx="1601">
                  <c:v>45581</c:v>
                </c:pt>
                <c:pt idx="1602">
                  <c:v>45582</c:v>
                </c:pt>
                <c:pt idx="1603">
                  <c:v>45583</c:v>
                </c:pt>
                <c:pt idx="1604">
                  <c:v>45586</c:v>
                </c:pt>
                <c:pt idx="1605">
                  <c:v>45587</c:v>
                </c:pt>
                <c:pt idx="1606">
                  <c:v>45588</c:v>
                </c:pt>
                <c:pt idx="1607">
                  <c:v>45589</c:v>
                </c:pt>
                <c:pt idx="1608">
                  <c:v>45590</c:v>
                </c:pt>
                <c:pt idx="1609">
                  <c:v>45593</c:v>
                </c:pt>
                <c:pt idx="1610">
                  <c:v>45594</c:v>
                </c:pt>
                <c:pt idx="1611">
                  <c:v>45595</c:v>
                </c:pt>
                <c:pt idx="1612">
                  <c:v>45596</c:v>
                </c:pt>
                <c:pt idx="1613">
                  <c:v>45600</c:v>
                </c:pt>
                <c:pt idx="1614">
                  <c:v>45601</c:v>
                </c:pt>
                <c:pt idx="1615">
                  <c:v>45602</c:v>
                </c:pt>
                <c:pt idx="1616">
                  <c:v>45603</c:v>
                </c:pt>
                <c:pt idx="1617">
                  <c:v>45604</c:v>
                </c:pt>
                <c:pt idx="1618">
                  <c:v>45607</c:v>
                </c:pt>
                <c:pt idx="1619">
                  <c:v>45608</c:v>
                </c:pt>
                <c:pt idx="1620">
                  <c:v>45609</c:v>
                </c:pt>
                <c:pt idx="1621">
                  <c:v>45610</c:v>
                </c:pt>
                <c:pt idx="1622">
                  <c:v>45614</c:v>
                </c:pt>
                <c:pt idx="1623">
                  <c:v>45615</c:v>
                </c:pt>
                <c:pt idx="1624">
                  <c:v>45617</c:v>
                </c:pt>
                <c:pt idx="1625">
                  <c:v>45618</c:v>
                </c:pt>
                <c:pt idx="1626">
                  <c:v>45621</c:v>
                </c:pt>
                <c:pt idx="1627">
                  <c:v>45622</c:v>
                </c:pt>
                <c:pt idx="1628">
                  <c:v>45623</c:v>
                </c:pt>
                <c:pt idx="1629">
                  <c:v>45624</c:v>
                </c:pt>
                <c:pt idx="1630">
                  <c:v>45625</c:v>
                </c:pt>
                <c:pt idx="1631">
                  <c:v>45628</c:v>
                </c:pt>
                <c:pt idx="1632">
                  <c:v>45629</c:v>
                </c:pt>
                <c:pt idx="1633">
                  <c:v>45630</c:v>
                </c:pt>
                <c:pt idx="1634">
                  <c:v>45631</c:v>
                </c:pt>
                <c:pt idx="1635">
                  <c:v>45632</c:v>
                </c:pt>
                <c:pt idx="1636">
                  <c:v>45635</c:v>
                </c:pt>
                <c:pt idx="1637">
                  <c:v>45636</c:v>
                </c:pt>
                <c:pt idx="1638">
                  <c:v>45637</c:v>
                </c:pt>
                <c:pt idx="1639">
                  <c:v>45638</c:v>
                </c:pt>
                <c:pt idx="1640">
                  <c:v>45639</c:v>
                </c:pt>
                <c:pt idx="1641">
                  <c:v>45642</c:v>
                </c:pt>
                <c:pt idx="1642">
                  <c:v>45643</c:v>
                </c:pt>
                <c:pt idx="1643">
                  <c:v>45644</c:v>
                </c:pt>
                <c:pt idx="1644">
                  <c:v>45645</c:v>
                </c:pt>
                <c:pt idx="1645">
                  <c:v>45646</c:v>
                </c:pt>
                <c:pt idx="1646">
                  <c:v>45649</c:v>
                </c:pt>
                <c:pt idx="1647">
                  <c:v>45650</c:v>
                </c:pt>
                <c:pt idx="1648">
                  <c:v>45652</c:v>
                </c:pt>
                <c:pt idx="1649">
                  <c:v>45653</c:v>
                </c:pt>
                <c:pt idx="1650">
                  <c:v>45656</c:v>
                </c:pt>
                <c:pt idx="1651">
                  <c:v>45657</c:v>
                </c:pt>
                <c:pt idx="1652">
                  <c:v>45658</c:v>
                </c:pt>
                <c:pt idx="1653">
                  <c:v>45659</c:v>
                </c:pt>
                <c:pt idx="1654">
                  <c:v>45660</c:v>
                </c:pt>
                <c:pt idx="1655">
                  <c:v>45663</c:v>
                </c:pt>
                <c:pt idx="1656">
                  <c:v>45664</c:v>
                </c:pt>
                <c:pt idx="1657">
                  <c:v>45665</c:v>
                </c:pt>
                <c:pt idx="1658">
                  <c:v>45666</c:v>
                </c:pt>
                <c:pt idx="1659">
                  <c:v>45667</c:v>
                </c:pt>
                <c:pt idx="1660">
                  <c:v>45670</c:v>
                </c:pt>
                <c:pt idx="1661">
                  <c:v>45671</c:v>
                </c:pt>
                <c:pt idx="1662">
                  <c:v>45672</c:v>
                </c:pt>
                <c:pt idx="1663">
                  <c:v>45673</c:v>
                </c:pt>
                <c:pt idx="1664">
                  <c:v>45674</c:v>
                </c:pt>
                <c:pt idx="1665">
                  <c:v>45677</c:v>
                </c:pt>
                <c:pt idx="1666">
                  <c:v>45678</c:v>
                </c:pt>
                <c:pt idx="1667">
                  <c:v>45679</c:v>
                </c:pt>
                <c:pt idx="1668">
                  <c:v>45680</c:v>
                </c:pt>
                <c:pt idx="1669">
                  <c:v>45681</c:v>
                </c:pt>
                <c:pt idx="1670">
                  <c:v>45684</c:v>
                </c:pt>
                <c:pt idx="1671">
                  <c:v>45685</c:v>
                </c:pt>
                <c:pt idx="1672">
                  <c:v>45686</c:v>
                </c:pt>
                <c:pt idx="1673">
                  <c:v>45687</c:v>
                </c:pt>
                <c:pt idx="1674">
                  <c:v>45688</c:v>
                </c:pt>
                <c:pt idx="1675">
                  <c:v>45691</c:v>
                </c:pt>
                <c:pt idx="1676">
                  <c:v>45692</c:v>
                </c:pt>
                <c:pt idx="1677">
                  <c:v>45693</c:v>
                </c:pt>
                <c:pt idx="1678">
                  <c:v>45694</c:v>
                </c:pt>
                <c:pt idx="1679">
                  <c:v>45695</c:v>
                </c:pt>
                <c:pt idx="1680">
                  <c:v>45698</c:v>
                </c:pt>
                <c:pt idx="1681">
                  <c:v>45699</c:v>
                </c:pt>
                <c:pt idx="1682">
                  <c:v>45700</c:v>
                </c:pt>
                <c:pt idx="1683">
                  <c:v>45701</c:v>
                </c:pt>
                <c:pt idx="1684">
                  <c:v>45702</c:v>
                </c:pt>
                <c:pt idx="1685">
                  <c:v>45705</c:v>
                </c:pt>
                <c:pt idx="1686">
                  <c:v>45706</c:v>
                </c:pt>
                <c:pt idx="1687">
                  <c:v>45707</c:v>
                </c:pt>
                <c:pt idx="1688">
                  <c:v>45708</c:v>
                </c:pt>
                <c:pt idx="1689">
                  <c:v>45709</c:v>
                </c:pt>
                <c:pt idx="1690">
                  <c:v>45712</c:v>
                </c:pt>
                <c:pt idx="1691">
                  <c:v>45713</c:v>
                </c:pt>
                <c:pt idx="1692">
                  <c:v>45715</c:v>
                </c:pt>
                <c:pt idx="1693">
                  <c:v>45716</c:v>
                </c:pt>
                <c:pt idx="1694">
                  <c:v>45719</c:v>
                </c:pt>
                <c:pt idx="1695">
                  <c:v>45720</c:v>
                </c:pt>
                <c:pt idx="1696">
                  <c:v>45721</c:v>
                </c:pt>
                <c:pt idx="1697">
                  <c:v>45722</c:v>
                </c:pt>
                <c:pt idx="1698">
                  <c:v>45723</c:v>
                </c:pt>
                <c:pt idx="1699">
                  <c:v>45726</c:v>
                </c:pt>
                <c:pt idx="1700">
                  <c:v>45727</c:v>
                </c:pt>
                <c:pt idx="1701">
                  <c:v>45728</c:v>
                </c:pt>
                <c:pt idx="1702">
                  <c:v>45729</c:v>
                </c:pt>
                <c:pt idx="1703">
                  <c:v>45733</c:v>
                </c:pt>
                <c:pt idx="1704">
                  <c:v>45734</c:v>
                </c:pt>
                <c:pt idx="1705">
                  <c:v>45735</c:v>
                </c:pt>
                <c:pt idx="1706">
                  <c:v>45736</c:v>
                </c:pt>
                <c:pt idx="1707">
                  <c:v>45737</c:v>
                </c:pt>
                <c:pt idx="1708">
                  <c:v>45740</c:v>
                </c:pt>
                <c:pt idx="1709">
                  <c:v>45741</c:v>
                </c:pt>
                <c:pt idx="1710">
                  <c:v>45742</c:v>
                </c:pt>
                <c:pt idx="1711">
                  <c:v>45743</c:v>
                </c:pt>
                <c:pt idx="1712">
                  <c:v>45744</c:v>
                </c:pt>
                <c:pt idx="1713">
                  <c:v>45747</c:v>
                </c:pt>
                <c:pt idx="1714">
                  <c:v>45748</c:v>
                </c:pt>
                <c:pt idx="1715">
                  <c:v>45749</c:v>
                </c:pt>
                <c:pt idx="1716">
                  <c:v>45750</c:v>
                </c:pt>
                <c:pt idx="1717">
                  <c:v>45751</c:v>
                </c:pt>
                <c:pt idx="1718">
                  <c:v>45754</c:v>
                </c:pt>
                <c:pt idx="1719">
                  <c:v>45755</c:v>
                </c:pt>
                <c:pt idx="1720">
                  <c:v>45756</c:v>
                </c:pt>
                <c:pt idx="1721">
                  <c:v>45758</c:v>
                </c:pt>
                <c:pt idx="1722">
                  <c:v>45762</c:v>
                </c:pt>
                <c:pt idx="1723">
                  <c:v>45763</c:v>
                </c:pt>
                <c:pt idx="1724">
                  <c:v>45764</c:v>
                </c:pt>
                <c:pt idx="1725">
                  <c:v>45768</c:v>
                </c:pt>
                <c:pt idx="1726">
                  <c:v>45769</c:v>
                </c:pt>
                <c:pt idx="1727">
                  <c:v>45770</c:v>
                </c:pt>
                <c:pt idx="1728">
                  <c:v>45771</c:v>
                </c:pt>
                <c:pt idx="1729">
                  <c:v>45772</c:v>
                </c:pt>
                <c:pt idx="1730">
                  <c:v>45775</c:v>
                </c:pt>
                <c:pt idx="1731">
                  <c:v>45776</c:v>
                </c:pt>
                <c:pt idx="1732">
                  <c:v>45777</c:v>
                </c:pt>
                <c:pt idx="1733">
                  <c:v>45779</c:v>
                </c:pt>
                <c:pt idx="1734">
                  <c:v>45782</c:v>
                </c:pt>
                <c:pt idx="1735">
                  <c:v>45783</c:v>
                </c:pt>
                <c:pt idx="1736">
                  <c:v>45784</c:v>
                </c:pt>
                <c:pt idx="1737">
                  <c:v>45785</c:v>
                </c:pt>
                <c:pt idx="1738">
                  <c:v>45786</c:v>
                </c:pt>
                <c:pt idx="1739">
                  <c:v>45789</c:v>
                </c:pt>
                <c:pt idx="1740">
                  <c:v>45790</c:v>
                </c:pt>
                <c:pt idx="1741">
                  <c:v>45791</c:v>
                </c:pt>
                <c:pt idx="1742">
                  <c:v>45792</c:v>
                </c:pt>
                <c:pt idx="1743">
                  <c:v>45793</c:v>
                </c:pt>
                <c:pt idx="1744">
                  <c:v>45796</c:v>
                </c:pt>
                <c:pt idx="1745">
                  <c:v>45797</c:v>
                </c:pt>
                <c:pt idx="1746">
                  <c:v>45798</c:v>
                </c:pt>
                <c:pt idx="1747">
                  <c:v>45799</c:v>
                </c:pt>
                <c:pt idx="1748">
                  <c:v>45800</c:v>
                </c:pt>
                <c:pt idx="1749">
                  <c:v>45803</c:v>
                </c:pt>
                <c:pt idx="1750">
                  <c:v>45804</c:v>
                </c:pt>
                <c:pt idx="1751">
                  <c:v>45805</c:v>
                </c:pt>
                <c:pt idx="1752">
                  <c:v>45806</c:v>
                </c:pt>
                <c:pt idx="1753">
                  <c:v>45807</c:v>
                </c:pt>
                <c:pt idx="1754">
                  <c:v>45810</c:v>
                </c:pt>
                <c:pt idx="1755">
                  <c:v>45811</c:v>
                </c:pt>
                <c:pt idx="1756">
                  <c:v>45812</c:v>
                </c:pt>
                <c:pt idx="1757">
                  <c:v>45813</c:v>
                </c:pt>
                <c:pt idx="1758">
                  <c:v>45814</c:v>
                </c:pt>
                <c:pt idx="1759">
                  <c:v>45817</c:v>
                </c:pt>
                <c:pt idx="1760">
                  <c:v>45818</c:v>
                </c:pt>
                <c:pt idx="1761">
                  <c:v>45819</c:v>
                </c:pt>
                <c:pt idx="1762">
                  <c:v>45820</c:v>
                </c:pt>
                <c:pt idx="1763">
                  <c:v>45821</c:v>
                </c:pt>
                <c:pt idx="1764">
                  <c:v>45824</c:v>
                </c:pt>
                <c:pt idx="1765">
                  <c:v>45825</c:v>
                </c:pt>
                <c:pt idx="1766">
                  <c:v>45826</c:v>
                </c:pt>
                <c:pt idx="1767">
                  <c:v>45827</c:v>
                </c:pt>
                <c:pt idx="1768">
                  <c:v>45828</c:v>
                </c:pt>
                <c:pt idx="1769">
                  <c:v>45831</c:v>
                </c:pt>
                <c:pt idx="1770">
                  <c:v>45832</c:v>
                </c:pt>
                <c:pt idx="1771">
                  <c:v>45833</c:v>
                </c:pt>
                <c:pt idx="1772">
                  <c:v>45834</c:v>
                </c:pt>
                <c:pt idx="1773">
                  <c:v>45835</c:v>
                </c:pt>
                <c:pt idx="1774">
                  <c:v>45838</c:v>
                </c:pt>
                <c:pt idx="1775">
                  <c:v>45839</c:v>
                </c:pt>
                <c:pt idx="1776">
                  <c:v>45840</c:v>
                </c:pt>
                <c:pt idx="1777">
                  <c:v>45841</c:v>
                </c:pt>
                <c:pt idx="1778">
                  <c:v>45842</c:v>
                </c:pt>
                <c:pt idx="1779">
                  <c:v>45845</c:v>
                </c:pt>
                <c:pt idx="1780">
                  <c:v>45846</c:v>
                </c:pt>
                <c:pt idx="1781">
                  <c:v>45847</c:v>
                </c:pt>
                <c:pt idx="1782">
                  <c:v>45848</c:v>
                </c:pt>
                <c:pt idx="1783">
                  <c:v>45849</c:v>
                </c:pt>
                <c:pt idx="1784">
                  <c:v>45852</c:v>
                </c:pt>
                <c:pt idx="1785">
                  <c:v>45853</c:v>
                </c:pt>
                <c:pt idx="1786">
                  <c:v>45854</c:v>
                </c:pt>
                <c:pt idx="1787">
                  <c:v>45855</c:v>
                </c:pt>
                <c:pt idx="1788">
                  <c:v>45856</c:v>
                </c:pt>
                <c:pt idx="1789">
                  <c:v>45859</c:v>
                </c:pt>
                <c:pt idx="1790">
                  <c:v>45860</c:v>
                </c:pt>
                <c:pt idx="1791">
                  <c:v>45861</c:v>
                </c:pt>
                <c:pt idx="1792">
                  <c:v>45862</c:v>
                </c:pt>
                <c:pt idx="1793">
                  <c:v>45863</c:v>
                </c:pt>
                <c:pt idx="1794">
                  <c:v>45866</c:v>
                </c:pt>
                <c:pt idx="1795">
                  <c:v>45867</c:v>
                </c:pt>
                <c:pt idx="1796">
                  <c:v>45868</c:v>
                </c:pt>
                <c:pt idx="1797">
                  <c:v>45869</c:v>
                </c:pt>
                <c:pt idx="1798">
                  <c:v>45870</c:v>
                </c:pt>
                <c:pt idx="1799">
                  <c:v>45873</c:v>
                </c:pt>
                <c:pt idx="1800">
                  <c:v>45874</c:v>
                </c:pt>
                <c:pt idx="1801">
                  <c:v>45875</c:v>
                </c:pt>
                <c:pt idx="1802">
                  <c:v>45876</c:v>
                </c:pt>
                <c:pt idx="1803">
                  <c:v>45877</c:v>
                </c:pt>
                <c:pt idx="1804">
                  <c:v>45880</c:v>
                </c:pt>
                <c:pt idx="1805">
                  <c:v>45881</c:v>
                </c:pt>
                <c:pt idx="1806">
                  <c:v>45882</c:v>
                </c:pt>
                <c:pt idx="1807">
                  <c:v>45883</c:v>
                </c:pt>
                <c:pt idx="1808">
                  <c:v>45887</c:v>
                </c:pt>
                <c:pt idx="1809">
                  <c:v>45888</c:v>
                </c:pt>
                <c:pt idx="1810">
                  <c:v>45889</c:v>
                </c:pt>
                <c:pt idx="1811">
                  <c:v>45890</c:v>
                </c:pt>
                <c:pt idx="1812">
                  <c:v>45891</c:v>
                </c:pt>
                <c:pt idx="1813">
                  <c:v>45894</c:v>
                </c:pt>
                <c:pt idx="1814">
                  <c:v>45895</c:v>
                </c:pt>
                <c:pt idx="1815">
                  <c:v>45897</c:v>
                </c:pt>
                <c:pt idx="1816">
                  <c:v>45898</c:v>
                </c:pt>
                <c:pt idx="1817">
                  <c:v>45901</c:v>
                </c:pt>
                <c:pt idx="1818">
                  <c:v>45902</c:v>
                </c:pt>
                <c:pt idx="1819">
                  <c:v>45903</c:v>
                </c:pt>
                <c:pt idx="1820">
                  <c:v>45904</c:v>
                </c:pt>
                <c:pt idx="1821">
                  <c:v>45905</c:v>
                </c:pt>
                <c:pt idx="1822">
                  <c:v>45908</c:v>
                </c:pt>
                <c:pt idx="1823">
                  <c:v>45909</c:v>
                </c:pt>
                <c:pt idx="1824">
                  <c:v>45910</c:v>
                </c:pt>
                <c:pt idx="1825">
                  <c:v>45911</c:v>
                </c:pt>
                <c:pt idx="1826">
                  <c:v>45912</c:v>
                </c:pt>
                <c:pt idx="1827">
                  <c:v>45915</c:v>
                </c:pt>
                <c:pt idx="1828">
                  <c:v>45916</c:v>
                </c:pt>
                <c:pt idx="1829">
                  <c:v>45917</c:v>
                </c:pt>
                <c:pt idx="1830">
                  <c:v>45918</c:v>
                </c:pt>
                <c:pt idx="1831">
                  <c:v>45919</c:v>
                </c:pt>
                <c:pt idx="1832">
                  <c:v>45922</c:v>
                </c:pt>
                <c:pt idx="1833">
                  <c:v>45923</c:v>
                </c:pt>
                <c:pt idx="1834">
                  <c:v>45924</c:v>
                </c:pt>
                <c:pt idx="1835">
                  <c:v>45925</c:v>
                </c:pt>
                <c:pt idx="1836">
                  <c:v>45926</c:v>
                </c:pt>
                <c:pt idx="1837">
                  <c:v>45929</c:v>
                </c:pt>
                <c:pt idx="1838">
                  <c:v>45930</c:v>
                </c:pt>
                <c:pt idx="1839">
                  <c:v>45931</c:v>
                </c:pt>
                <c:pt idx="1840">
                  <c:v>45933</c:v>
                </c:pt>
                <c:pt idx="1841">
                  <c:v>45936</c:v>
                </c:pt>
                <c:pt idx="1842">
                  <c:v>45937</c:v>
                </c:pt>
                <c:pt idx="1843">
                  <c:v>45938</c:v>
                </c:pt>
                <c:pt idx="1844">
                  <c:v>45939</c:v>
                </c:pt>
                <c:pt idx="1845">
                  <c:v>45940</c:v>
                </c:pt>
                <c:pt idx="1846">
                  <c:v>45943</c:v>
                </c:pt>
                <c:pt idx="1847">
                  <c:v>45944</c:v>
                </c:pt>
                <c:pt idx="1848">
                  <c:v>45945</c:v>
                </c:pt>
                <c:pt idx="1849">
                  <c:v>45946</c:v>
                </c:pt>
                <c:pt idx="1850">
                  <c:v>45947</c:v>
                </c:pt>
                <c:pt idx="1851">
                  <c:v>45950</c:v>
                </c:pt>
                <c:pt idx="1852">
                  <c:v>45953</c:v>
                </c:pt>
                <c:pt idx="1853">
                  <c:v>45954</c:v>
                </c:pt>
                <c:pt idx="1854">
                  <c:v>45957</c:v>
                </c:pt>
                <c:pt idx="1855">
                  <c:v>45958</c:v>
                </c:pt>
                <c:pt idx="1856">
                  <c:v>45959</c:v>
                </c:pt>
                <c:pt idx="1857">
                  <c:v>45960</c:v>
                </c:pt>
                <c:pt idx="1858">
                  <c:v>45961</c:v>
                </c:pt>
                <c:pt idx="1859">
                  <c:v>45964</c:v>
                </c:pt>
                <c:pt idx="1860">
                  <c:v>45965</c:v>
                </c:pt>
                <c:pt idx="1861">
                  <c:v>45967</c:v>
                </c:pt>
                <c:pt idx="1862">
                  <c:v>45968</c:v>
                </c:pt>
                <c:pt idx="1863">
                  <c:v>45971</c:v>
                </c:pt>
                <c:pt idx="1864">
                  <c:v>45972</c:v>
                </c:pt>
                <c:pt idx="1865">
                  <c:v>45973</c:v>
                </c:pt>
                <c:pt idx="1866">
                  <c:v>45974</c:v>
                </c:pt>
                <c:pt idx="1867">
                  <c:v>45975</c:v>
                </c:pt>
                <c:pt idx="1868">
                  <c:v>45978</c:v>
                </c:pt>
                <c:pt idx="1869">
                  <c:v>45979</c:v>
                </c:pt>
                <c:pt idx="1870">
                  <c:v>45980</c:v>
                </c:pt>
                <c:pt idx="1871">
                  <c:v>45981</c:v>
                </c:pt>
                <c:pt idx="1872">
                  <c:v>45982</c:v>
                </c:pt>
                <c:pt idx="1873">
                  <c:v>45985</c:v>
                </c:pt>
                <c:pt idx="1874">
                  <c:v>45986</c:v>
                </c:pt>
                <c:pt idx="1875">
                  <c:v>45987</c:v>
                </c:pt>
                <c:pt idx="1876">
                  <c:v>45988</c:v>
                </c:pt>
                <c:pt idx="1877">
                  <c:v>45989</c:v>
                </c:pt>
                <c:pt idx="1878">
                  <c:v>45992</c:v>
                </c:pt>
                <c:pt idx="1879">
                  <c:v>45993</c:v>
                </c:pt>
                <c:pt idx="1880">
                  <c:v>45994</c:v>
                </c:pt>
                <c:pt idx="1881">
                  <c:v>45995</c:v>
                </c:pt>
                <c:pt idx="1882">
                  <c:v>45996</c:v>
                </c:pt>
                <c:pt idx="1883">
                  <c:v>45999</c:v>
                </c:pt>
                <c:pt idx="1884">
                  <c:v>46000</c:v>
                </c:pt>
                <c:pt idx="1885">
                  <c:v>46001</c:v>
                </c:pt>
                <c:pt idx="1886">
                  <c:v>46002</c:v>
                </c:pt>
                <c:pt idx="1887">
                  <c:v>46003</c:v>
                </c:pt>
                <c:pt idx="1888">
                  <c:v>46006</c:v>
                </c:pt>
                <c:pt idx="1889">
                  <c:v>46007</c:v>
                </c:pt>
                <c:pt idx="1890">
                  <c:v>46008</c:v>
                </c:pt>
                <c:pt idx="1891">
                  <c:v>46009</c:v>
                </c:pt>
                <c:pt idx="1892">
                  <c:v>46010</c:v>
                </c:pt>
                <c:pt idx="1893">
                  <c:v>46013</c:v>
                </c:pt>
                <c:pt idx="1894">
                  <c:v>46014</c:v>
                </c:pt>
                <c:pt idx="1895">
                  <c:v>46015</c:v>
                </c:pt>
                <c:pt idx="1896">
                  <c:v>46017</c:v>
                </c:pt>
                <c:pt idx="1897">
                  <c:v>46020</c:v>
                </c:pt>
                <c:pt idx="1898">
                  <c:v>46021</c:v>
                </c:pt>
                <c:pt idx="1899">
                  <c:v>46022</c:v>
                </c:pt>
                <c:pt idx="1900">
                  <c:v>46023</c:v>
                </c:pt>
                <c:pt idx="1901">
                  <c:v>46024</c:v>
                </c:pt>
                <c:pt idx="1902">
                  <c:v>46027</c:v>
                </c:pt>
                <c:pt idx="1903">
                  <c:v>46028</c:v>
                </c:pt>
                <c:pt idx="1904">
                  <c:v>46029</c:v>
                </c:pt>
                <c:pt idx="1905">
                  <c:v>46030</c:v>
                </c:pt>
                <c:pt idx="1906">
                  <c:v>46031</c:v>
                </c:pt>
                <c:pt idx="1907">
                  <c:v>46034</c:v>
                </c:pt>
                <c:pt idx="1908">
                  <c:v>46035</c:v>
                </c:pt>
                <c:pt idx="1909">
                  <c:v>46036</c:v>
                </c:pt>
                <c:pt idx="1910">
                  <c:v>46038</c:v>
                </c:pt>
                <c:pt idx="1911">
                  <c:v>46041</c:v>
                </c:pt>
                <c:pt idx="1912">
                  <c:v>46042</c:v>
                </c:pt>
                <c:pt idx="1913">
                  <c:v>46043</c:v>
                </c:pt>
                <c:pt idx="1914">
                  <c:v>46044</c:v>
                </c:pt>
                <c:pt idx="1915">
                  <c:v>46045</c:v>
                </c:pt>
                <c:pt idx="1916">
                  <c:v>46049</c:v>
                </c:pt>
                <c:pt idx="1917">
                  <c:v>46050</c:v>
                </c:pt>
                <c:pt idx="1918">
                  <c:v>46051</c:v>
                </c:pt>
                <c:pt idx="1919">
                  <c:v>46052</c:v>
                </c:pt>
                <c:pt idx="1920">
                  <c:v>46055</c:v>
                </c:pt>
                <c:pt idx="1921">
                  <c:v>46056</c:v>
                </c:pt>
                <c:pt idx="1922">
                  <c:v>46057</c:v>
                </c:pt>
                <c:pt idx="1923">
                  <c:v>46058</c:v>
                </c:pt>
                <c:pt idx="1924">
                  <c:v>46059</c:v>
                </c:pt>
                <c:pt idx="1925">
                  <c:v>46062</c:v>
                </c:pt>
                <c:pt idx="1926">
                  <c:v>46063</c:v>
                </c:pt>
                <c:pt idx="1927">
                  <c:v>46064</c:v>
                </c:pt>
                <c:pt idx="1928">
                  <c:v>46065</c:v>
                </c:pt>
                <c:pt idx="1929">
                  <c:v>46066</c:v>
                </c:pt>
                <c:pt idx="1930">
                  <c:v>46069</c:v>
                </c:pt>
                <c:pt idx="1931">
                  <c:v>46070</c:v>
                </c:pt>
                <c:pt idx="1932">
                  <c:v>46071</c:v>
                </c:pt>
                <c:pt idx="1933">
                  <c:v>46072</c:v>
                </c:pt>
                <c:pt idx="1934">
                  <c:v>46073</c:v>
                </c:pt>
                <c:pt idx="1935">
                  <c:v>46076</c:v>
                </c:pt>
                <c:pt idx="1936">
                  <c:v>46077</c:v>
                </c:pt>
                <c:pt idx="1937">
                  <c:v>46078</c:v>
                </c:pt>
                <c:pt idx="1938">
                  <c:v>46079</c:v>
                </c:pt>
                <c:pt idx="1939">
                  <c:v>46080</c:v>
                </c:pt>
                <c:pt idx="1940">
                  <c:v>46083</c:v>
                </c:pt>
                <c:pt idx="1941">
                  <c:v>46085</c:v>
                </c:pt>
                <c:pt idx="1942">
                  <c:v>46086</c:v>
                </c:pt>
                <c:pt idx="1943">
                  <c:v>46087</c:v>
                </c:pt>
                <c:pt idx="1944">
                  <c:v>46090</c:v>
                </c:pt>
                <c:pt idx="1945">
                  <c:v>46091</c:v>
                </c:pt>
                <c:pt idx="1946">
                  <c:v>46092</c:v>
                </c:pt>
                <c:pt idx="1947">
                  <c:v>46093</c:v>
                </c:pt>
                <c:pt idx="1948">
                  <c:v>46094</c:v>
                </c:pt>
                <c:pt idx="1949">
                  <c:v>46097</c:v>
                </c:pt>
                <c:pt idx="1950">
                  <c:v>46098</c:v>
                </c:pt>
                <c:pt idx="1951">
                  <c:v>46099</c:v>
                </c:pt>
                <c:pt idx="1952">
                  <c:v>46100</c:v>
                </c:pt>
                <c:pt idx="1953">
                  <c:v>46101</c:v>
                </c:pt>
                <c:pt idx="1954">
                  <c:v>46104</c:v>
                </c:pt>
                <c:pt idx="1955">
                  <c:v>46105</c:v>
                </c:pt>
                <c:pt idx="1956">
                  <c:v>46106</c:v>
                </c:pt>
                <c:pt idx="1957">
                  <c:v>46108</c:v>
                </c:pt>
                <c:pt idx="1958">
                  <c:v>46111</c:v>
                </c:pt>
                <c:pt idx="1959">
                  <c:v>46112</c:v>
                </c:pt>
                <c:pt idx="1960">
                  <c:v>46113</c:v>
                </c:pt>
                <c:pt idx="1961">
                  <c:v>46114</c:v>
                </c:pt>
                <c:pt idx="1962">
                  <c:v>46118</c:v>
                </c:pt>
                <c:pt idx="1963">
                  <c:v>46119</c:v>
                </c:pt>
                <c:pt idx="1964">
                  <c:v>46120</c:v>
                </c:pt>
                <c:pt idx="1965">
                  <c:v>46121</c:v>
                </c:pt>
                <c:pt idx="1966">
                  <c:v>46122</c:v>
                </c:pt>
                <c:pt idx="1967">
                  <c:v>46125</c:v>
                </c:pt>
                <c:pt idx="1968">
                  <c:v>46127</c:v>
                </c:pt>
                <c:pt idx="1969">
                  <c:v>46128</c:v>
                </c:pt>
              </c:numCache>
            </c:numRef>
          </c:cat>
          <c:val>
            <c:numRef>
              <c:f>'Fund Data'!$B$2:$B$1971</c:f>
              <c:numCache>
                <c:formatCode>#,##0.00</c:formatCode>
                <c:ptCount val="1970"/>
                <c:pt idx="0">
                  <c:v>287.95999999999998</c:v>
                </c:pt>
                <c:pt idx="1">
                  <c:v>288.52</c:v>
                </c:pt>
                <c:pt idx="2">
                  <c:v>289.22000000000003</c:v>
                </c:pt>
                <c:pt idx="3">
                  <c:v>288.64</c:v>
                </c:pt>
                <c:pt idx="4">
                  <c:v>289.17</c:v>
                </c:pt>
                <c:pt idx="5">
                  <c:v>289.95999999999998</c:v>
                </c:pt>
                <c:pt idx="6">
                  <c:v>288.11</c:v>
                </c:pt>
                <c:pt idx="7">
                  <c:v>287.81</c:v>
                </c:pt>
                <c:pt idx="8">
                  <c:v>290.5</c:v>
                </c:pt>
                <c:pt idx="9">
                  <c:v>291.32</c:v>
                </c:pt>
                <c:pt idx="10">
                  <c:v>289.02999999999997</c:v>
                </c:pt>
                <c:pt idx="11">
                  <c:v>288.83999999999997</c:v>
                </c:pt>
                <c:pt idx="12">
                  <c:v>286.31</c:v>
                </c:pt>
                <c:pt idx="13">
                  <c:v>288.67</c:v>
                </c:pt>
                <c:pt idx="14">
                  <c:v>289.22000000000003</c:v>
                </c:pt>
                <c:pt idx="15">
                  <c:v>288.17</c:v>
                </c:pt>
                <c:pt idx="16">
                  <c:v>287.68</c:v>
                </c:pt>
                <c:pt idx="17">
                  <c:v>288.23</c:v>
                </c:pt>
                <c:pt idx="18">
                  <c:v>288.69</c:v>
                </c:pt>
                <c:pt idx="19">
                  <c:v>287.11</c:v>
                </c:pt>
                <c:pt idx="20">
                  <c:v>285.95</c:v>
                </c:pt>
                <c:pt idx="21">
                  <c:v>285.33999999999997</c:v>
                </c:pt>
                <c:pt idx="22">
                  <c:v>282.08999999999997</c:v>
                </c:pt>
                <c:pt idx="23">
                  <c:v>280.18</c:v>
                </c:pt>
                <c:pt idx="24">
                  <c:v>282.69</c:v>
                </c:pt>
                <c:pt idx="25">
                  <c:v>280.58</c:v>
                </c:pt>
                <c:pt idx="26">
                  <c:v>280.79000000000002</c:v>
                </c:pt>
                <c:pt idx="27">
                  <c:v>282.97000000000003</c:v>
                </c:pt>
                <c:pt idx="28">
                  <c:v>288.17</c:v>
                </c:pt>
                <c:pt idx="29">
                  <c:v>287.08999999999997</c:v>
                </c:pt>
                <c:pt idx="30">
                  <c:v>286.26</c:v>
                </c:pt>
                <c:pt idx="31">
                  <c:v>286.99</c:v>
                </c:pt>
                <c:pt idx="32">
                  <c:v>286.38</c:v>
                </c:pt>
                <c:pt idx="33">
                  <c:v>284.64999999999998</c:v>
                </c:pt>
                <c:pt idx="34">
                  <c:v>282.05</c:v>
                </c:pt>
                <c:pt idx="35">
                  <c:v>284.95999999999998</c:v>
                </c:pt>
                <c:pt idx="36">
                  <c:v>286.39</c:v>
                </c:pt>
                <c:pt idx="37">
                  <c:v>288.42</c:v>
                </c:pt>
                <c:pt idx="38">
                  <c:v>290</c:v>
                </c:pt>
                <c:pt idx="39">
                  <c:v>290.98</c:v>
                </c:pt>
                <c:pt idx="40">
                  <c:v>291.63</c:v>
                </c:pt>
                <c:pt idx="41">
                  <c:v>291.23</c:v>
                </c:pt>
                <c:pt idx="42">
                  <c:v>291.33</c:v>
                </c:pt>
                <c:pt idx="43">
                  <c:v>290.79000000000002</c:v>
                </c:pt>
                <c:pt idx="44">
                  <c:v>288.69</c:v>
                </c:pt>
                <c:pt idx="45">
                  <c:v>288.83999999999997</c:v>
                </c:pt>
                <c:pt idx="46">
                  <c:v>287.64</c:v>
                </c:pt>
                <c:pt idx="47">
                  <c:v>289.05</c:v>
                </c:pt>
                <c:pt idx="48">
                  <c:v>286.85000000000002</c:v>
                </c:pt>
                <c:pt idx="49">
                  <c:v>287.16000000000003</c:v>
                </c:pt>
                <c:pt idx="50">
                  <c:v>284.05</c:v>
                </c:pt>
                <c:pt idx="51">
                  <c:v>281.70999999999998</c:v>
                </c:pt>
                <c:pt idx="52">
                  <c:v>285.73</c:v>
                </c:pt>
                <c:pt idx="53">
                  <c:v>285.51</c:v>
                </c:pt>
                <c:pt idx="54">
                  <c:v>286.91000000000003</c:v>
                </c:pt>
                <c:pt idx="55">
                  <c:v>287.08</c:v>
                </c:pt>
                <c:pt idx="56">
                  <c:v>286.64</c:v>
                </c:pt>
                <c:pt idx="57">
                  <c:v>286.16000000000003</c:v>
                </c:pt>
                <c:pt idx="58">
                  <c:v>288.85000000000002</c:v>
                </c:pt>
                <c:pt idx="59">
                  <c:v>291.97000000000003</c:v>
                </c:pt>
                <c:pt idx="60">
                  <c:v>289.54000000000002</c:v>
                </c:pt>
                <c:pt idx="61">
                  <c:v>289.23</c:v>
                </c:pt>
                <c:pt idx="62">
                  <c:v>286.98</c:v>
                </c:pt>
                <c:pt idx="63">
                  <c:v>283.92</c:v>
                </c:pt>
                <c:pt idx="64">
                  <c:v>285.98</c:v>
                </c:pt>
                <c:pt idx="65">
                  <c:v>285.70999999999998</c:v>
                </c:pt>
                <c:pt idx="66">
                  <c:v>285.48</c:v>
                </c:pt>
                <c:pt idx="67">
                  <c:v>287.10000000000002</c:v>
                </c:pt>
                <c:pt idx="68">
                  <c:v>290.83</c:v>
                </c:pt>
                <c:pt idx="69">
                  <c:v>294.73</c:v>
                </c:pt>
                <c:pt idx="70">
                  <c:v>294.23</c:v>
                </c:pt>
                <c:pt idx="71">
                  <c:v>297.56</c:v>
                </c:pt>
                <c:pt idx="72">
                  <c:v>301.54000000000002</c:v>
                </c:pt>
                <c:pt idx="73">
                  <c:v>304.13</c:v>
                </c:pt>
                <c:pt idx="74">
                  <c:v>303.48</c:v>
                </c:pt>
                <c:pt idx="75">
                  <c:v>303.36</c:v>
                </c:pt>
                <c:pt idx="76">
                  <c:v>302.64</c:v>
                </c:pt>
                <c:pt idx="77">
                  <c:v>307.57</c:v>
                </c:pt>
                <c:pt idx="78">
                  <c:v>307.58</c:v>
                </c:pt>
                <c:pt idx="79">
                  <c:v>307.43</c:v>
                </c:pt>
                <c:pt idx="80">
                  <c:v>307.39999999999998</c:v>
                </c:pt>
                <c:pt idx="81">
                  <c:v>307.3</c:v>
                </c:pt>
                <c:pt idx="82">
                  <c:v>305.12</c:v>
                </c:pt>
                <c:pt idx="83">
                  <c:v>304.31</c:v>
                </c:pt>
                <c:pt idx="84">
                  <c:v>307.97000000000003</c:v>
                </c:pt>
                <c:pt idx="85">
                  <c:v>308.77</c:v>
                </c:pt>
                <c:pt idx="86">
                  <c:v>311.52999999999997</c:v>
                </c:pt>
                <c:pt idx="87">
                  <c:v>313.06</c:v>
                </c:pt>
                <c:pt idx="88">
                  <c:v>315.33</c:v>
                </c:pt>
                <c:pt idx="89">
                  <c:v>316.08999999999997</c:v>
                </c:pt>
                <c:pt idx="90">
                  <c:v>315.19</c:v>
                </c:pt>
                <c:pt idx="91">
                  <c:v>317.11</c:v>
                </c:pt>
                <c:pt idx="92">
                  <c:v>316.75</c:v>
                </c:pt>
                <c:pt idx="93">
                  <c:v>316.16000000000003</c:v>
                </c:pt>
                <c:pt idx="94">
                  <c:v>318.57</c:v>
                </c:pt>
                <c:pt idx="95">
                  <c:v>320.2</c:v>
                </c:pt>
                <c:pt idx="96">
                  <c:v>319.61</c:v>
                </c:pt>
                <c:pt idx="97">
                  <c:v>314.56</c:v>
                </c:pt>
                <c:pt idx="98">
                  <c:v>315.13</c:v>
                </c:pt>
                <c:pt idx="99">
                  <c:v>317.58</c:v>
                </c:pt>
                <c:pt idx="100">
                  <c:v>320.3</c:v>
                </c:pt>
                <c:pt idx="101">
                  <c:v>315.7</c:v>
                </c:pt>
                <c:pt idx="102">
                  <c:v>311.85000000000002</c:v>
                </c:pt>
                <c:pt idx="103">
                  <c:v>314.86</c:v>
                </c:pt>
                <c:pt idx="104">
                  <c:v>318.7</c:v>
                </c:pt>
                <c:pt idx="105">
                  <c:v>315.61</c:v>
                </c:pt>
                <c:pt idx="106">
                  <c:v>311.70999999999998</c:v>
                </c:pt>
                <c:pt idx="107">
                  <c:v>310.22000000000003</c:v>
                </c:pt>
                <c:pt idx="108">
                  <c:v>306.73</c:v>
                </c:pt>
                <c:pt idx="109">
                  <c:v>300.57</c:v>
                </c:pt>
                <c:pt idx="110">
                  <c:v>303.27</c:v>
                </c:pt>
                <c:pt idx="111">
                  <c:v>302.44</c:v>
                </c:pt>
                <c:pt idx="112">
                  <c:v>300.13</c:v>
                </c:pt>
                <c:pt idx="113">
                  <c:v>297.97000000000003</c:v>
                </c:pt>
                <c:pt idx="114">
                  <c:v>298.77</c:v>
                </c:pt>
                <c:pt idx="115">
                  <c:v>296.25</c:v>
                </c:pt>
                <c:pt idx="116">
                  <c:v>290.19</c:v>
                </c:pt>
                <c:pt idx="117">
                  <c:v>284.18</c:v>
                </c:pt>
                <c:pt idx="118">
                  <c:v>282.89</c:v>
                </c:pt>
                <c:pt idx="119">
                  <c:v>281.47000000000003</c:v>
                </c:pt>
                <c:pt idx="120">
                  <c:v>285.81</c:v>
                </c:pt>
                <c:pt idx="121">
                  <c:v>281.27999999999997</c:v>
                </c:pt>
                <c:pt idx="122">
                  <c:v>286.20999999999998</c:v>
                </c:pt>
                <c:pt idx="123">
                  <c:v>288.81</c:v>
                </c:pt>
                <c:pt idx="124">
                  <c:v>289.95999999999998</c:v>
                </c:pt>
                <c:pt idx="125">
                  <c:v>286.95999999999998</c:v>
                </c:pt>
                <c:pt idx="126">
                  <c:v>285.79000000000002</c:v>
                </c:pt>
                <c:pt idx="127">
                  <c:v>285.36</c:v>
                </c:pt>
                <c:pt idx="128">
                  <c:v>281.49</c:v>
                </c:pt>
                <c:pt idx="129">
                  <c:v>283.31</c:v>
                </c:pt>
                <c:pt idx="130">
                  <c:v>279.7</c:v>
                </c:pt>
                <c:pt idx="131">
                  <c:v>278.48</c:v>
                </c:pt>
                <c:pt idx="132">
                  <c:v>284.54000000000002</c:v>
                </c:pt>
                <c:pt idx="133">
                  <c:v>284.94</c:v>
                </c:pt>
                <c:pt idx="134">
                  <c:v>289.69</c:v>
                </c:pt>
                <c:pt idx="135">
                  <c:v>288.93</c:v>
                </c:pt>
                <c:pt idx="136">
                  <c:v>293.77</c:v>
                </c:pt>
                <c:pt idx="137">
                  <c:v>294.11</c:v>
                </c:pt>
                <c:pt idx="138">
                  <c:v>293.76</c:v>
                </c:pt>
                <c:pt idx="139">
                  <c:v>295.77</c:v>
                </c:pt>
                <c:pt idx="140">
                  <c:v>292.73</c:v>
                </c:pt>
                <c:pt idx="141">
                  <c:v>293.98</c:v>
                </c:pt>
                <c:pt idx="142">
                  <c:v>292.06</c:v>
                </c:pt>
                <c:pt idx="143">
                  <c:v>292.66000000000003</c:v>
                </c:pt>
                <c:pt idx="144">
                  <c:v>294.16000000000003</c:v>
                </c:pt>
                <c:pt idx="145">
                  <c:v>295.45</c:v>
                </c:pt>
                <c:pt idx="146">
                  <c:v>292.32</c:v>
                </c:pt>
                <c:pt idx="147">
                  <c:v>292.41000000000003</c:v>
                </c:pt>
                <c:pt idx="148">
                  <c:v>290.23</c:v>
                </c:pt>
                <c:pt idx="149">
                  <c:v>291.33</c:v>
                </c:pt>
                <c:pt idx="150">
                  <c:v>292.14999999999998</c:v>
                </c:pt>
                <c:pt idx="151">
                  <c:v>290.58999999999997</c:v>
                </c:pt>
                <c:pt idx="152">
                  <c:v>292.64</c:v>
                </c:pt>
                <c:pt idx="153">
                  <c:v>293.32</c:v>
                </c:pt>
                <c:pt idx="154">
                  <c:v>295.18</c:v>
                </c:pt>
                <c:pt idx="155">
                  <c:v>295.33999999999997</c:v>
                </c:pt>
                <c:pt idx="156">
                  <c:v>290.37</c:v>
                </c:pt>
                <c:pt idx="157">
                  <c:v>286.39999999999998</c:v>
                </c:pt>
                <c:pt idx="158">
                  <c:v>286.33</c:v>
                </c:pt>
                <c:pt idx="159">
                  <c:v>282.33999999999997</c:v>
                </c:pt>
                <c:pt idx="160">
                  <c:v>285.20999999999998</c:v>
                </c:pt>
                <c:pt idx="161">
                  <c:v>290.8</c:v>
                </c:pt>
                <c:pt idx="162">
                  <c:v>292.14</c:v>
                </c:pt>
                <c:pt idx="163">
                  <c:v>293.70999999999998</c:v>
                </c:pt>
                <c:pt idx="164">
                  <c:v>295.77999999999997</c:v>
                </c:pt>
                <c:pt idx="165">
                  <c:v>296.63</c:v>
                </c:pt>
                <c:pt idx="166">
                  <c:v>299.31</c:v>
                </c:pt>
                <c:pt idx="167">
                  <c:v>298.18</c:v>
                </c:pt>
                <c:pt idx="168">
                  <c:v>294.55</c:v>
                </c:pt>
                <c:pt idx="169">
                  <c:v>291.68</c:v>
                </c:pt>
                <c:pt idx="170">
                  <c:v>292.63</c:v>
                </c:pt>
                <c:pt idx="171">
                  <c:v>293.81</c:v>
                </c:pt>
                <c:pt idx="172">
                  <c:v>296.62</c:v>
                </c:pt>
                <c:pt idx="173">
                  <c:v>297.37</c:v>
                </c:pt>
                <c:pt idx="174">
                  <c:v>297.85000000000002</c:v>
                </c:pt>
                <c:pt idx="175">
                  <c:v>294.3</c:v>
                </c:pt>
                <c:pt idx="176">
                  <c:v>291.61</c:v>
                </c:pt>
                <c:pt idx="177">
                  <c:v>293.58</c:v>
                </c:pt>
                <c:pt idx="178">
                  <c:v>294.64</c:v>
                </c:pt>
                <c:pt idx="179">
                  <c:v>296.14</c:v>
                </c:pt>
                <c:pt idx="180">
                  <c:v>296.87</c:v>
                </c:pt>
                <c:pt idx="181">
                  <c:v>296.8</c:v>
                </c:pt>
                <c:pt idx="182">
                  <c:v>297.04000000000002</c:v>
                </c:pt>
                <c:pt idx="183">
                  <c:v>295.70999999999998</c:v>
                </c:pt>
                <c:pt idx="184">
                  <c:v>298.08</c:v>
                </c:pt>
                <c:pt idx="185">
                  <c:v>298.02</c:v>
                </c:pt>
                <c:pt idx="186">
                  <c:v>296.83999999999997</c:v>
                </c:pt>
                <c:pt idx="187">
                  <c:v>294.47000000000003</c:v>
                </c:pt>
                <c:pt idx="188">
                  <c:v>294.13</c:v>
                </c:pt>
                <c:pt idx="189">
                  <c:v>293.33999999999997</c:v>
                </c:pt>
                <c:pt idx="190">
                  <c:v>290.83999999999997</c:v>
                </c:pt>
                <c:pt idx="191">
                  <c:v>290</c:v>
                </c:pt>
                <c:pt idx="192">
                  <c:v>288.27</c:v>
                </c:pt>
                <c:pt idx="193">
                  <c:v>284.85000000000002</c:v>
                </c:pt>
                <c:pt idx="194">
                  <c:v>285.83999999999997</c:v>
                </c:pt>
                <c:pt idx="195">
                  <c:v>286.87</c:v>
                </c:pt>
                <c:pt idx="196">
                  <c:v>290.33</c:v>
                </c:pt>
                <c:pt idx="197">
                  <c:v>289.8</c:v>
                </c:pt>
                <c:pt idx="198">
                  <c:v>287.99</c:v>
                </c:pt>
                <c:pt idx="199">
                  <c:v>287.05</c:v>
                </c:pt>
                <c:pt idx="200">
                  <c:v>290.51</c:v>
                </c:pt>
                <c:pt idx="201">
                  <c:v>292.20999999999998</c:v>
                </c:pt>
                <c:pt idx="202">
                  <c:v>288.01</c:v>
                </c:pt>
                <c:pt idx="203">
                  <c:v>285.27999999999997</c:v>
                </c:pt>
                <c:pt idx="204">
                  <c:v>284.97000000000003</c:v>
                </c:pt>
                <c:pt idx="205">
                  <c:v>282.58999999999997</c:v>
                </c:pt>
                <c:pt idx="206">
                  <c:v>281.36</c:v>
                </c:pt>
                <c:pt idx="207">
                  <c:v>280.68</c:v>
                </c:pt>
                <c:pt idx="208">
                  <c:v>278.64</c:v>
                </c:pt>
                <c:pt idx="209">
                  <c:v>279.13</c:v>
                </c:pt>
                <c:pt idx="210">
                  <c:v>282.89</c:v>
                </c:pt>
                <c:pt idx="211">
                  <c:v>284.26</c:v>
                </c:pt>
                <c:pt idx="212">
                  <c:v>286.76</c:v>
                </c:pt>
                <c:pt idx="213">
                  <c:v>289.11</c:v>
                </c:pt>
                <c:pt idx="214">
                  <c:v>288.31</c:v>
                </c:pt>
                <c:pt idx="215">
                  <c:v>288.42</c:v>
                </c:pt>
                <c:pt idx="216">
                  <c:v>290.95</c:v>
                </c:pt>
                <c:pt idx="217">
                  <c:v>293.41000000000003</c:v>
                </c:pt>
                <c:pt idx="218">
                  <c:v>298.55</c:v>
                </c:pt>
                <c:pt idx="219">
                  <c:v>300.86</c:v>
                </c:pt>
                <c:pt idx="220">
                  <c:v>299.19</c:v>
                </c:pt>
                <c:pt idx="221">
                  <c:v>298.7</c:v>
                </c:pt>
                <c:pt idx="222">
                  <c:v>304.37</c:v>
                </c:pt>
                <c:pt idx="223">
                  <c:v>306.67</c:v>
                </c:pt>
                <c:pt idx="224">
                  <c:v>303.94</c:v>
                </c:pt>
                <c:pt idx="225">
                  <c:v>304.91000000000003</c:v>
                </c:pt>
                <c:pt idx="226">
                  <c:v>306.89</c:v>
                </c:pt>
                <c:pt idx="227">
                  <c:v>306.7</c:v>
                </c:pt>
                <c:pt idx="228">
                  <c:v>308.93</c:v>
                </c:pt>
                <c:pt idx="229">
                  <c:v>306.97000000000003</c:v>
                </c:pt>
                <c:pt idx="230">
                  <c:v>305.95999999999998</c:v>
                </c:pt>
                <c:pt idx="231">
                  <c:v>303.94</c:v>
                </c:pt>
                <c:pt idx="232">
                  <c:v>306.64999999999998</c:v>
                </c:pt>
                <c:pt idx="233">
                  <c:v>306.79000000000002</c:v>
                </c:pt>
                <c:pt idx="234">
                  <c:v>309.51</c:v>
                </c:pt>
                <c:pt idx="235">
                  <c:v>311.97000000000003</c:v>
                </c:pt>
                <c:pt idx="236">
                  <c:v>314.04000000000002</c:v>
                </c:pt>
                <c:pt idx="237">
                  <c:v>315.06</c:v>
                </c:pt>
                <c:pt idx="238">
                  <c:v>311.57</c:v>
                </c:pt>
                <c:pt idx="239">
                  <c:v>311.83</c:v>
                </c:pt>
                <c:pt idx="240">
                  <c:v>313.25</c:v>
                </c:pt>
                <c:pt idx="241">
                  <c:v>312</c:v>
                </c:pt>
                <c:pt idx="242">
                  <c:v>313.11</c:v>
                </c:pt>
                <c:pt idx="243">
                  <c:v>311.45</c:v>
                </c:pt>
                <c:pt idx="244">
                  <c:v>311.44</c:v>
                </c:pt>
                <c:pt idx="245">
                  <c:v>312.83</c:v>
                </c:pt>
                <c:pt idx="246">
                  <c:v>314.27</c:v>
                </c:pt>
                <c:pt idx="247">
                  <c:v>316.04000000000002</c:v>
                </c:pt>
                <c:pt idx="248">
                  <c:v>313.61</c:v>
                </c:pt>
                <c:pt idx="249">
                  <c:v>310.74</c:v>
                </c:pt>
                <c:pt idx="250">
                  <c:v>310.02</c:v>
                </c:pt>
                <c:pt idx="251">
                  <c:v>312.12</c:v>
                </c:pt>
                <c:pt idx="252">
                  <c:v>310.29000000000002</c:v>
                </c:pt>
                <c:pt idx="253">
                  <c:v>312.2</c:v>
                </c:pt>
                <c:pt idx="254">
                  <c:v>312.26</c:v>
                </c:pt>
                <c:pt idx="255">
                  <c:v>310.32</c:v>
                </c:pt>
                <c:pt idx="256">
                  <c:v>310.83</c:v>
                </c:pt>
                <c:pt idx="257">
                  <c:v>309.37</c:v>
                </c:pt>
                <c:pt idx="258">
                  <c:v>307.52</c:v>
                </c:pt>
                <c:pt idx="259">
                  <c:v>304.52</c:v>
                </c:pt>
                <c:pt idx="260">
                  <c:v>303.06</c:v>
                </c:pt>
                <c:pt idx="261">
                  <c:v>302.85000000000002</c:v>
                </c:pt>
                <c:pt idx="262">
                  <c:v>297.55</c:v>
                </c:pt>
                <c:pt idx="263">
                  <c:v>300.69</c:v>
                </c:pt>
                <c:pt idx="264">
                  <c:v>298.64999999999998</c:v>
                </c:pt>
                <c:pt idx="265">
                  <c:v>301.02999999999997</c:v>
                </c:pt>
                <c:pt idx="266">
                  <c:v>302.08</c:v>
                </c:pt>
                <c:pt idx="267">
                  <c:v>312.69</c:v>
                </c:pt>
                <c:pt idx="268">
                  <c:v>309.26</c:v>
                </c:pt>
                <c:pt idx="269">
                  <c:v>310.49</c:v>
                </c:pt>
                <c:pt idx="270">
                  <c:v>309.39999999999998</c:v>
                </c:pt>
                <c:pt idx="271">
                  <c:v>315.33</c:v>
                </c:pt>
                <c:pt idx="272">
                  <c:v>319.41000000000003</c:v>
                </c:pt>
                <c:pt idx="273">
                  <c:v>319.68</c:v>
                </c:pt>
                <c:pt idx="274">
                  <c:v>316.13</c:v>
                </c:pt>
                <c:pt idx="275">
                  <c:v>317.39999999999998</c:v>
                </c:pt>
                <c:pt idx="276">
                  <c:v>317.16000000000003</c:v>
                </c:pt>
                <c:pt idx="277">
                  <c:v>319.75</c:v>
                </c:pt>
                <c:pt idx="278">
                  <c:v>318.51</c:v>
                </c:pt>
                <c:pt idx="279">
                  <c:v>314.27</c:v>
                </c:pt>
                <c:pt idx="280">
                  <c:v>314.56</c:v>
                </c:pt>
                <c:pt idx="281">
                  <c:v>315.97000000000003</c:v>
                </c:pt>
                <c:pt idx="282">
                  <c:v>316.94</c:v>
                </c:pt>
                <c:pt idx="283">
                  <c:v>316.04000000000002</c:v>
                </c:pt>
                <c:pt idx="284">
                  <c:v>316.20999999999998</c:v>
                </c:pt>
                <c:pt idx="285">
                  <c:v>313.86</c:v>
                </c:pt>
                <c:pt idx="286">
                  <c:v>309.83999999999997</c:v>
                </c:pt>
                <c:pt idx="287">
                  <c:v>310.57</c:v>
                </c:pt>
                <c:pt idx="288">
                  <c:v>309.69</c:v>
                </c:pt>
                <c:pt idx="289">
                  <c:v>314.19</c:v>
                </c:pt>
                <c:pt idx="290">
                  <c:v>313.63</c:v>
                </c:pt>
                <c:pt idx="291">
                  <c:v>312.8</c:v>
                </c:pt>
                <c:pt idx="292">
                  <c:v>314.76</c:v>
                </c:pt>
                <c:pt idx="293">
                  <c:v>316.67</c:v>
                </c:pt>
                <c:pt idx="294">
                  <c:v>317.27</c:v>
                </c:pt>
                <c:pt idx="295">
                  <c:v>316.97000000000003</c:v>
                </c:pt>
                <c:pt idx="296">
                  <c:v>317.24</c:v>
                </c:pt>
                <c:pt idx="297">
                  <c:v>318.49</c:v>
                </c:pt>
                <c:pt idx="298">
                  <c:v>318.74</c:v>
                </c:pt>
                <c:pt idx="299">
                  <c:v>319.2</c:v>
                </c:pt>
                <c:pt idx="300">
                  <c:v>314.67</c:v>
                </c:pt>
                <c:pt idx="301">
                  <c:v>307.76</c:v>
                </c:pt>
                <c:pt idx="302">
                  <c:v>309.05</c:v>
                </c:pt>
                <c:pt idx="303">
                  <c:v>307.20999999999998</c:v>
                </c:pt>
                <c:pt idx="304">
                  <c:v>309.33999999999997</c:v>
                </c:pt>
                <c:pt idx="305">
                  <c:v>309.39</c:v>
                </c:pt>
                <c:pt idx="306">
                  <c:v>309.29000000000002</c:v>
                </c:pt>
                <c:pt idx="307">
                  <c:v>310.86</c:v>
                </c:pt>
                <c:pt idx="308">
                  <c:v>311.26</c:v>
                </c:pt>
                <c:pt idx="309">
                  <c:v>307.48</c:v>
                </c:pt>
                <c:pt idx="310">
                  <c:v>303.70999999999998</c:v>
                </c:pt>
                <c:pt idx="311">
                  <c:v>304.14</c:v>
                </c:pt>
                <c:pt idx="312">
                  <c:v>304.62</c:v>
                </c:pt>
                <c:pt idx="313">
                  <c:v>302.31</c:v>
                </c:pt>
                <c:pt idx="314">
                  <c:v>303.56</c:v>
                </c:pt>
                <c:pt idx="315">
                  <c:v>303.35000000000002</c:v>
                </c:pt>
                <c:pt idx="316">
                  <c:v>300.08</c:v>
                </c:pt>
                <c:pt idx="317">
                  <c:v>296.49</c:v>
                </c:pt>
                <c:pt idx="318">
                  <c:v>298.39</c:v>
                </c:pt>
                <c:pt idx="319">
                  <c:v>293.33999999999997</c:v>
                </c:pt>
                <c:pt idx="320">
                  <c:v>292.77</c:v>
                </c:pt>
                <c:pt idx="321">
                  <c:v>289.92</c:v>
                </c:pt>
                <c:pt idx="322">
                  <c:v>293.23</c:v>
                </c:pt>
                <c:pt idx="323">
                  <c:v>290.44</c:v>
                </c:pt>
                <c:pt idx="324">
                  <c:v>293.52</c:v>
                </c:pt>
                <c:pt idx="325">
                  <c:v>294.49</c:v>
                </c:pt>
                <c:pt idx="326">
                  <c:v>287.99</c:v>
                </c:pt>
                <c:pt idx="327">
                  <c:v>290.86</c:v>
                </c:pt>
                <c:pt idx="328">
                  <c:v>291.73</c:v>
                </c:pt>
                <c:pt idx="329">
                  <c:v>292.16000000000003</c:v>
                </c:pt>
                <c:pt idx="330">
                  <c:v>290.18</c:v>
                </c:pt>
                <c:pt idx="331">
                  <c:v>286.37</c:v>
                </c:pt>
                <c:pt idx="332">
                  <c:v>282</c:v>
                </c:pt>
                <c:pt idx="333">
                  <c:v>284.82</c:v>
                </c:pt>
                <c:pt idx="334">
                  <c:v>288.95999999999998</c:v>
                </c:pt>
                <c:pt idx="335">
                  <c:v>291.7</c:v>
                </c:pt>
                <c:pt idx="336">
                  <c:v>289.06</c:v>
                </c:pt>
                <c:pt idx="337">
                  <c:v>288.31</c:v>
                </c:pt>
                <c:pt idx="338">
                  <c:v>289.94</c:v>
                </c:pt>
                <c:pt idx="339">
                  <c:v>284.08999999999997</c:v>
                </c:pt>
                <c:pt idx="340">
                  <c:v>286.10000000000002</c:v>
                </c:pt>
                <c:pt idx="341">
                  <c:v>288.27999999999997</c:v>
                </c:pt>
                <c:pt idx="342">
                  <c:v>291.14</c:v>
                </c:pt>
                <c:pt idx="343">
                  <c:v>292.79000000000002</c:v>
                </c:pt>
                <c:pt idx="344">
                  <c:v>293.91000000000003</c:v>
                </c:pt>
                <c:pt idx="345">
                  <c:v>292.83</c:v>
                </c:pt>
                <c:pt idx="346">
                  <c:v>295.74</c:v>
                </c:pt>
                <c:pt idx="347">
                  <c:v>294.83999999999997</c:v>
                </c:pt>
                <c:pt idx="348">
                  <c:v>289.48</c:v>
                </c:pt>
                <c:pt idx="349">
                  <c:v>290.72000000000003</c:v>
                </c:pt>
                <c:pt idx="350">
                  <c:v>287.20999999999998</c:v>
                </c:pt>
                <c:pt idx="351">
                  <c:v>300.79000000000002</c:v>
                </c:pt>
                <c:pt idx="352">
                  <c:v>307.10000000000002</c:v>
                </c:pt>
                <c:pt idx="353">
                  <c:v>304.60000000000002</c:v>
                </c:pt>
                <c:pt idx="354">
                  <c:v>298.99</c:v>
                </c:pt>
                <c:pt idx="355">
                  <c:v>303.39999999999998</c:v>
                </c:pt>
                <c:pt idx="356">
                  <c:v>301.62</c:v>
                </c:pt>
                <c:pt idx="357">
                  <c:v>300.42</c:v>
                </c:pt>
                <c:pt idx="358">
                  <c:v>296.11</c:v>
                </c:pt>
                <c:pt idx="359">
                  <c:v>295</c:v>
                </c:pt>
                <c:pt idx="360">
                  <c:v>291.83</c:v>
                </c:pt>
                <c:pt idx="361">
                  <c:v>290.13</c:v>
                </c:pt>
                <c:pt idx="362">
                  <c:v>294.52999999999997</c:v>
                </c:pt>
                <c:pt idx="363">
                  <c:v>292.14</c:v>
                </c:pt>
                <c:pt idx="364">
                  <c:v>294.58999999999997</c:v>
                </c:pt>
                <c:pt idx="365">
                  <c:v>295.92</c:v>
                </c:pt>
                <c:pt idx="366">
                  <c:v>298.26</c:v>
                </c:pt>
                <c:pt idx="367">
                  <c:v>298.58</c:v>
                </c:pt>
                <c:pt idx="368">
                  <c:v>302.39999999999998</c:v>
                </c:pt>
                <c:pt idx="369">
                  <c:v>304.83999999999997</c:v>
                </c:pt>
                <c:pt idx="370">
                  <c:v>303.31</c:v>
                </c:pt>
                <c:pt idx="371">
                  <c:v>303.91000000000003</c:v>
                </c:pt>
                <c:pt idx="372">
                  <c:v>302.08</c:v>
                </c:pt>
                <c:pt idx="373">
                  <c:v>303.18</c:v>
                </c:pt>
                <c:pt idx="374">
                  <c:v>308.05</c:v>
                </c:pt>
                <c:pt idx="375">
                  <c:v>310.33999999999997</c:v>
                </c:pt>
                <c:pt idx="376">
                  <c:v>312.64</c:v>
                </c:pt>
                <c:pt idx="377">
                  <c:v>313.74</c:v>
                </c:pt>
                <c:pt idx="378">
                  <c:v>315.26</c:v>
                </c:pt>
                <c:pt idx="379">
                  <c:v>314.06</c:v>
                </c:pt>
                <c:pt idx="380">
                  <c:v>314.37</c:v>
                </c:pt>
                <c:pt idx="381">
                  <c:v>314.27</c:v>
                </c:pt>
                <c:pt idx="382">
                  <c:v>311.31</c:v>
                </c:pt>
                <c:pt idx="383">
                  <c:v>311.88</c:v>
                </c:pt>
                <c:pt idx="384">
                  <c:v>307.79000000000002</c:v>
                </c:pt>
                <c:pt idx="385">
                  <c:v>308.01</c:v>
                </c:pt>
                <c:pt idx="386">
                  <c:v>309.42</c:v>
                </c:pt>
                <c:pt idx="387">
                  <c:v>310.66000000000003</c:v>
                </c:pt>
                <c:pt idx="388">
                  <c:v>312.45999999999998</c:v>
                </c:pt>
                <c:pt idx="389">
                  <c:v>313.01</c:v>
                </c:pt>
                <c:pt idx="390">
                  <c:v>310.79000000000002</c:v>
                </c:pt>
                <c:pt idx="391">
                  <c:v>310.5</c:v>
                </c:pt>
                <c:pt idx="392">
                  <c:v>315.20999999999998</c:v>
                </c:pt>
                <c:pt idx="393">
                  <c:v>313.69</c:v>
                </c:pt>
                <c:pt idx="394">
                  <c:v>314.70999999999998</c:v>
                </c:pt>
                <c:pt idx="395">
                  <c:v>317.01</c:v>
                </c:pt>
                <c:pt idx="396">
                  <c:v>315.57</c:v>
                </c:pt>
                <c:pt idx="397">
                  <c:v>314.5</c:v>
                </c:pt>
                <c:pt idx="398">
                  <c:v>312.20999999999998</c:v>
                </c:pt>
                <c:pt idx="399">
                  <c:v>315.18</c:v>
                </c:pt>
                <c:pt idx="400">
                  <c:v>313.20999999999998</c:v>
                </c:pt>
                <c:pt idx="401">
                  <c:v>309.98</c:v>
                </c:pt>
                <c:pt idx="402">
                  <c:v>309.69</c:v>
                </c:pt>
                <c:pt idx="403">
                  <c:v>307.23</c:v>
                </c:pt>
                <c:pt idx="404">
                  <c:v>307.97000000000003</c:v>
                </c:pt>
                <c:pt idx="405">
                  <c:v>309.94</c:v>
                </c:pt>
                <c:pt idx="406">
                  <c:v>313.36</c:v>
                </c:pt>
                <c:pt idx="407">
                  <c:v>311.64</c:v>
                </c:pt>
                <c:pt idx="408">
                  <c:v>314.52</c:v>
                </c:pt>
                <c:pt idx="409">
                  <c:v>314.64999999999998</c:v>
                </c:pt>
                <c:pt idx="410">
                  <c:v>315.16000000000003</c:v>
                </c:pt>
                <c:pt idx="411">
                  <c:v>316.16000000000003</c:v>
                </c:pt>
                <c:pt idx="412">
                  <c:v>315.83</c:v>
                </c:pt>
                <c:pt idx="413">
                  <c:v>315.86</c:v>
                </c:pt>
                <c:pt idx="414">
                  <c:v>314.60000000000002</c:v>
                </c:pt>
                <c:pt idx="415">
                  <c:v>318.08999999999997</c:v>
                </c:pt>
                <c:pt idx="416">
                  <c:v>318.57</c:v>
                </c:pt>
                <c:pt idx="417">
                  <c:v>318.23</c:v>
                </c:pt>
                <c:pt idx="418">
                  <c:v>319.12</c:v>
                </c:pt>
                <c:pt idx="419">
                  <c:v>321.92</c:v>
                </c:pt>
                <c:pt idx="420">
                  <c:v>320.56</c:v>
                </c:pt>
                <c:pt idx="421">
                  <c:v>314.52999999999997</c:v>
                </c:pt>
                <c:pt idx="422">
                  <c:v>315.63</c:v>
                </c:pt>
                <c:pt idx="423">
                  <c:v>315.16000000000003</c:v>
                </c:pt>
                <c:pt idx="424">
                  <c:v>319.87</c:v>
                </c:pt>
                <c:pt idx="425">
                  <c:v>321.77999999999997</c:v>
                </c:pt>
                <c:pt idx="426">
                  <c:v>324.63</c:v>
                </c:pt>
                <c:pt idx="427">
                  <c:v>325.99</c:v>
                </c:pt>
                <c:pt idx="428">
                  <c:v>326.39999999999998</c:v>
                </c:pt>
                <c:pt idx="429">
                  <c:v>326.66000000000003</c:v>
                </c:pt>
                <c:pt idx="430">
                  <c:v>327.2</c:v>
                </c:pt>
                <c:pt idx="431">
                  <c:v>325.48</c:v>
                </c:pt>
                <c:pt idx="432">
                  <c:v>323.77999999999997</c:v>
                </c:pt>
                <c:pt idx="433">
                  <c:v>321.68</c:v>
                </c:pt>
                <c:pt idx="434">
                  <c:v>324.99</c:v>
                </c:pt>
                <c:pt idx="435">
                  <c:v>327</c:v>
                </c:pt>
                <c:pt idx="436">
                  <c:v>323.33</c:v>
                </c:pt>
                <c:pt idx="437">
                  <c:v>320.56</c:v>
                </c:pt>
                <c:pt idx="438">
                  <c:v>322.07</c:v>
                </c:pt>
                <c:pt idx="439">
                  <c:v>319.95999999999998</c:v>
                </c:pt>
                <c:pt idx="440">
                  <c:v>317.67</c:v>
                </c:pt>
                <c:pt idx="441">
                  <c:v>309.42</c:v>
                </c:pt>
                <c:pt idx="442">
                  <c:v>315.52</c:v>
                </c:pt>
                <c:pt idx="443">
                  <c:v>319</c:v>
                </c:pt>
                <c:pt idx="444">
                  <c:v>321.45</c:v>
                </c:pt>
                <c:pt idx="445">
                  <c:v>322.8</c:v>
                </c:pt>
                <c:pt idx="446">
                  <c:v>319.43</c:v>
                </c:pt>
                <c:pt idx="447">
                  <c:v>321.16000000000003</c:v>
                </c:pt>
                <c:pt idx="448">
                  <c:v>321.58</c:v>
                </c:pt>
                <c:pt idx="449">
                  <c:v>320.44</c:v>
                </c:pt>
                <c:pt idx="450">
                  <c:v>318.97000000000003</c:v>
                </c:pt>
                <c:pt idx="451">
                  <c:v>315.29000000000002</c:v>
                </c:pt>
                <c:pt idx="452">
                  <c:v>313.38</c:v>
                </c:pt>
                <c:pt idx="453">
                  <c:v>316.88</c:v>
                </c:pt>
                <c:pt idx="454">
                  <c:v>317.07</c:v>
                </c:pt>
                <c:pt idx="455">
                  <c:v>310.01</c:v>
                </c:pt>
                <c:pt idx="456">
                  <c:v>309.04000000000002</c:v>
                </c:pt>
                <c:pt idx="457">
                  <c:v>305.18</c:v>
                </c:pt>
                <c:pt idx="458">
                  <c:v>303.54000000000002</c:v>
                </c:pt>
                <c:pt idx="459">
                  <c:v>295.14999999999998</c:v>
                </c:pt>
                <c:pt idx="460">
                  <c:v>291.33999999999997</c:v>
                </c:pt>
                <c:pt idx="461">
                  <c:v>297.39</c:v>
                </c:pt>
                <c:pt idx="462">
                  <c:v>295.01</c:v>
                </c:pt>
                <c:pt idx="463">
                  <c:v>295.3</c:v>
                </c:pt>
                <c:pt idx="464">
                  <c:v>288.27999999999997</c:v>
                </c:pt>
                <c:pt idx="465">
                  <c:v>274.87</c:v>
                </c:pt>
                <c:pt idx="466">
                  <c:v>272.45</c:v>
                </c:pt>
                <c:pt idx="467">
                  <c:v>249.11</c:v>
                </c:pt>
                <c:pt idx="468">
                  <c:v>258.3</c:v>
                </c:pt>
                <c:pt idx="469">
                  <c:v>241.64</c:v>
                </c:pt>
                <c:pt idx="470">
                  <c:v>235.73</c:v>
                </c:pt>
                <c:pt idx="471">
                  <c:v>224.84</c:v>
                </c:pt>
                <c:pt idx="472">
                  <c:v>219.42</c:v>
                </c:pt>
                <c:pt idx="473">
                  <c:v>228.26</c:v>
                </c:pt>
                <c:pt idx="474">
                  <c:v>199.99</c:v>
                </c:pt>
                <c:pt idx="475">
                  <c:v>202.85</c:v>
                </c:pt>
                <c:pt idx="476">
                  <c:v>211.25</c:v>
                </c:pt>
                <c:pt idx="477">
                  <c:v>218.35</c:v>
                </c:pt>
                <c:pt idx="478">
                  <c:v>218.76</c:v>
                </c:pt>
                <c:pt idx="479">
                  <c:v>212.24</c:v>
                </c:pt>
                <c:pt idx="480">
                  <c:v>219.45</c:v>
                </c:pt>
                <c:pt idx="481">
                  <c:v>212.16</c:v>
                </c:pt>
                <c:pt idx="482">
                  <c:v>209.2</c:v>
                </c:pt>
                <c:pt idx="483">
                  <c:v>223.52</c:v>
                </c:pt>
                <c:pt idx="484">
                  <c:v>224.68</c:v>
                </c:pt>
                <c:pt idx="485">
                  <c:v>235.02</c:v>
                </c:pt>
                <c:pt idx="486">
                  <c:v>233.83</c:v>
                </c:pt>
                <c:pt idx="487">
                  <c:v>234.76</c:v>
                </c:pt>
                <c:pt idx="488">
                  <c:v>238.93</c:v>
                </c:pt>
                <c:pt idx="489">
                  <c:v>246.27</c:v>
                </c:pt>
                <c:pt idx="490">
                  <c:v>245.22</c:v>
                </c:pt>
                <c:pt idx="491">
                  <c:v>236.71</c:v>
                </c:pt>
                <c:pt idx="492">
                  <c:v>237.59</c:v>
                </c:pt>
                <c:pt idx="493">
                  <c:v>239.67</c:v>
                </c:pt>
                <c:pt idx="494">
                  <c:v>234.61</c:v>
                </c:pt>
                <c:pt idx="495">
                  <c:v>237.08</c:v>
                </c:pt>
                <c:pt idx="496">
                  <c:v>238.09</c:v>
                </c:pt>
                <c:pt idx="497">
                  <c:v>242.22</c:v>
                </c:pt>
                <c:pt idx="498">
                  <c:v>250.96</c:v>
                </c:pt>
                <c:pt idx="499">
                  <c:v>238.86</c:v>
                </c:pt>
                <c:pt idx="500">
                  <c:v>236.45</c:v>
                </c:pt>
                <c:pt idx="501">
                  <c:v>239.14</c:v>
                </c:pt>
                <c:pt idx="502">
                  <c:v>235.89</c:v>
                </c:pt>
                <c:pt idx="503">
                  <c:v>234.97</c:v>
                </c:pt>
                <c:pt idx="504">
                  <c:v>235.01</c:v>
                </c:pt>
                <c:pt idx="505">
                  <c:v>237.11</c:v>
                </c:pt>
                <c:pt idx="506">
                  <c:v>242.03</c:v>
                </c:pt>
                <c:pt idx="507">
                  <c:v>236.44</c:v>
                </c:pt>
                <c:pt idx="508">
                  <c:v>236.55</c:v>
                </c:pt>
                <c:pt idx="509">
                  <c:v>227.54</c:v>
                </c:pt>
                <c:pt idx="510">
                  <c:v>231.45</c:v>
                </c:pt>
                <c:pt idx="511">
                  <c:v>235.26</c:v>
                </c:pt>
                <c:pt idx="512">
                  <c:v>236.11</c:v>
                </c:pt>
                <c:pt idx="513">
                  <c:v>234.39</c:v>
                </c:pt>
                <c:pt idx="514">
                  <c:v>234.84</c:v>
                </c:pt>
                <c:pt idx="515">
                  <c:v>240.03</c:v>
                </c:pt>
                <c:pt idx="516">
                  <c:v>243.58</c:v>
                </c:pt>
                <c:pt idx="517">
                  <c:v>247.08</c:v>
                </c:pt>
                <c:pt idx="518">
                  <c:v>252.6</c:v>
                </c:pt>
                <c:pt idx="519">
                  <c:v>255.82</c:v>
                </c:pt>
                <c:pt idx="520">
                  <c:v>257.08999999999997</c:v>
                </c:pt>
                <c:pt idx="521">
                  <c:v>257.64</c:v>
                </c:pt>
                <c:pt idx="522">
                  <c:v>262.89999999999998</c:v>
                </c:pt>
                <c:pt idx="523">
                  <c:v>264.54000000000002</c:v>
                </c:pt>
                <c:pt idx="524">
                  <c:v>261.22000000000003</c:v>
                </c:pt>
                <c:pt idx="525">
                  <c:v>261.7</c:v>
                </c:pt>
                <c:pt idx="526">
                  <c:v>256.41000000000003</c:v>
                </c:pt>
                <c:pt idx="527">
                  <c:v>256.74</c:v>
                </c:pt>
                <c:pt idx="528">
                  <c:v>252.7</c:v>
                </c:pt>
                <c:pt idx="529">
                  <c:v>253.69</c:v>
                </c:pt>
                <c:pt idx="530">
                  <c:v>254.32</c:v>
                </c:pt>
                <c:pt idx="531">
                  <c:v>258.16000000000003</c:v>
                </c:pt>
                <c:pt idx="532">
                  <c:v>261.08999999999997</c:v>
                </c:pt>
                <c:pt idx="533">
                  <c:v>264.26</c:v>
                </c:pt>
                <c:pt idx="534">
                  <c:v>269.68</c:v>
                </c:pt>
                <c:pt idx="535">
                  <c:v>263.20999999999998</c:v>
                </c:pt>
                <c:pt idx="536">
                  <c:v>263.10000000000002</c:v>
                </c:pt>
                <c:pt idx="537">
                  <c:v>266.01</c:v>
                </c:pt>
                <c:pt idx="538">
                  <c:v>262.64999999999998</c:v>
                </c:pt>
                <c:pt idx="539">
                  <c:v>262.10000000000002</c:v>
                </c:pt>
                <c:pt idx="540">
                  <c:v>263.58999999999997</c:v>
                </c:pt>
                <c:pt idx="541">
                  <c:v>266.08</c:v>
                </c:pt>
                <c:pt idx="542">
                  <c:v>267.60000000000002</c:v>
                </c:pt>
                <c:pt idx="543">
                  <c:v>270.69</c:v>
                </c:pt>
                <c:pt idx="544">
                  <c:v>271.20999999999998</c:v>
                </c:pt>
                <c:pt idx="545">
                  <c:v>269.12</c:v>
                </c:pt>
                <c:pt idx="546">
                  <c:v>271.49</c:v>
                </c:pt>
                <c:pt idx="547">
                  <c:v>269.27999999999997</c:v>
                </c:pt>
                <c:pt idx="548">
                  <c:v>269.69</c:v>
                </c:pt>
                <c:pt idx="549">
                  <c:v>265.26</c:v>
                </c:pt>
                <c:pt idx="550">
                  <c:v>265.91000000000003</c:v>
                </c:pt>
                <c:pt idx="551">
                  <c:v>268.38</c:v>
                </c:pt>
                <c:pt idx="552">
                  <c:v>271.64999999999998</c:v>
                </c:pt>
                <c:pt idx="553">
                  <c:v>274.29000000000002</c:v>
                </c:pt>
                <c:pt idx="554">
                  <c:v>277.25</c:v>
                </c:pt>
                <c:pt idx="555">
                  <c:v>277.37</c:v>
                </c:pt>
                <c:pt idx="556">
                  <c:v>279.55</c:v>
                </c:pt>
                <c:pt idx="557">
                  <c:v>277.02</c:v>
                </c:pt>
                <c:pt idx="558">
                  <c:v>273.72000000000003</c:v>
                </c:pt>
                <c:pt idx="559">
                  <c:v>276.16000000000003</c:v>
                </c:pt>
                <c:pt idx="560">
                  <c:v>275.82</c:v>
                </c:pt>
                <c:pt idx="561">
                  <c:v>274.01</c:v>
                </c:pt>
                <c:pt idx="562">
                  <c:v>275.39</c:v>
                </c:pt>
                <c:pt idx="563">
                  <c:v>272.83999999999997</c:v>
                </c:pt>
                <c:pt idx="564">
                  <c:v>274.39</c:v>
                </c:pt>
                <c:pt idx="565">
                  <c:v>276.16000000000003</c:v>
                </c:pt>
                <c:pt idx="566">
                  <c:v>278.56</c:v>
                </c:pt>
                <c:pt idx="567">
                  <c:v>278.51</c:v>
                </c:pt>
                <c:pt idx="568">
                  <c:v>282.14</c:v>
                </c:pt>
                <c:pt idx="569">
                  <c:v>282.42</c:v>
                </c:pt>
                <c:pt idx="570">
                  <c:v>283.08999999999997</c:v>
                </c:pt>
                <c:pt idx="571">
                  <c:v>284.33</c:v>
                </c:pt>
                <c:pt idx="572">
                  <c:v>282.14999999999998</c:v>
                </c:pt>
                <c:pt idx="573">
                  <c:v>286</c:v>
                </c:pt>
                <c:pt idx="574">
                  <c:v>288.74</c:v>
                </c:pt>
                <c:pt idx="575">
                  <c:v>290.55</c:v>
                </c:pt>
                <c:pt idx="576">
                  <c:v>291.52999999999997</c:v>
                </c:pt>
                <c:pt idx="577">
                  <c:v>293.88</c:v>
                </c:pt>
                <c:pt idx="578">
                  <c:v>295.31</c:v>
                </c:pt>
                <c:pt idx="579">
                  <c:v>295.43</c:v>
                </c:pt>
                <c:pt idx="580">
                  <c:v>295.74</c:v>
                </c:pt>
                <c:pt idx="581">
                  <c:v>295.89</c:v>
                </c:pt>
                <c:pt idx="582">
                  <c:v>298.83999999999997</c:v>
                </c:pt>
                <c:pt idx="583">
                  <c:v>289.51</c:v>
                </c:pt>
                <c:pt idx="584">
                  <c:v>292.7</c:v>
                </c:pt>
                <c:pt idx="585">
                  <c:v>294.5</c:v>
                </c:pt>
                <c:pt idx="586">
                  <c:v>293.52</c:v>
                </c:pt>
                <c:pt idx="587">
                  <c:v>288.27</c:v>
                </c:pt>
                <c:pt idx="588">
                  <c:v>287.27999999999997</c:v>
                </c:pt>
                <c:pt idx="589">
                  <c:v>284.54000000000002</c:v>
                </c:pt>
                <c:pt idx="590">
                  <c:v>282.5</c:v>
                </c:pt>
                <c:pt idx="591">
                  <c:v>283.83999999999997</c:v>
                </c:pt>
                <c:pt idx="592">
                  <c:v>284.23</c:v>
                </c:pt>
                <c:pt idx="593">
                  <c:v>286.57</c:v>
                </c:pt>
                <c:pt idx="594">
                  <c:v>289.52</c:v>
                </c:pt>
                <c:pt idx="595">
                  <c:v>290.58</c:v>
                </c:pt>
                <c:pt idx="596">
                  <c:v>288.33</c:v>
                </c:pt>
                <c:pt idx="597">
                  <c:v>289.42</c:v>
                </c:pt>
                <c:pt idx="598">
                  <c:v>280.32</c:v>
                </c:pt>
                <c:pt idx="599">
                  <c:v>277.95</c:v>
                </c:pt>
                <c:pt idx="600">
                  <c:v>276.52999999999997</c:v>
                </c:pt>
                <c:pt idx="601">
                  <c:v>268.56</c:v>
                </c:pt>
                <c:pt idx="602">
                  <c:v>275.55</c:v>
                </c:pt>
                <c:pt idx="603">
                  <c:v>281.49</c:v>
                </c:pt>
                <c:pt idx="604">
                  <c:v>280.14999999999998</c:v>
                </c:pt>
                <c:pt idx="605">
                  <c:v>280.12</c:v>
                </c:pt>
                <c:pt idx="606">
                  <c:v>283.68</c:v>
                </c:pt>
                <c:pt idx="607">
                  <c:v>284.77</c:v>
                </c:pt>
                <c:pt idx="608">
                  <c:v>286.11</c:v>
                </c:pt>
                <c:pt idx="609">
                  <c:v>285.35000000000002</c:v>
                </c:pt>
                <c:pt idx="610">
                  <c:v>287.45</c:v>
                </c:pt>
                <c:pt idx="611">
                  <c:v>289.86</c:v>
                </c:pt>
                <c:pt idx="612">
                  <c:v>287.66000000000003</c:v>
                </c:pt>
                <c:pt idx="613">
                  <c:v>286.69</c:v>
                </c:pt>
                <c:pt idx="614">
                  <c:v>286.10000000000002</c:v>
                </c:pt>
                <c:pt idx="615">
                  <c:v>280.3</c:v>
                </c:pt>
                <c:pt idx="616">
                  <c:v>283.20999999999998</c:v>
                </c:pt>
                <c:pt idx="617">
                  <c:v>286.75</c:v>
                </c:pt>
                <c:pt idx="618">
                  <c:v>287.86</c:v>
                </c:pt>
                <c:pt idx="619">
                  <c:v>289.89999999999998</c:v>
                </c:pt>
                <c:pt idx="620">
                  <c:v>290.51</c:v>
                </c:pt>
                <c:pt idx="621">
                  <c:v>292.45</c:v>
                </c:pt>
                <c:pt idx="622">
                  <c:v>288.60000000000002</c:v>
                </c:pt>
                <c:pt idx="623">
                  <c:v>291.23</c:v>
                </c:pt>
                <c:pt idx="624">
                  <c:v>288.89999999999998</c:v>
                </c:pt>
                <c:pt idx="625">
                  <c:v>287.8</c:v>
                </c:pt>
                <c:pt idx="626">
                  <c:v>287.08999999999997</c:v>
                </c:pt>
                <c:pt idx="627">
                  <c:v>289.52999999999997</c:v>
                </c:pt>
                <c:pt idx="628">
                  <c:v>292.06</c:v>
                </c:pt>
                <c:pt idx="629">
                  <c:v>293.83999999999997</c:v>
                </c:pt>
                <c:pt idx="630">
                  <c:v>298.56</c:v>
                </c:pt>
                <c:pt idx="631">
                  <c:v>300.72000000000003</c:v>
                </c:pt>
                <c:pt idx="632">
                  <c:v>306.76</c:v>
                </c:pt>
                <c:pt idx="633">
                  <c:v>309.2</c:v>
                </c:pt>
                <c:pt idx="634">
                  <c:v>311.74</c:v>
                </c:pt>
                <c:pt idx="635">
                  <c:v>311.25</c:v>
                </c:pt>
                <c:pt idx="636">
                  <c:v>312.47000000000003</c:v>
                </c:pt>
                <c:pt idx="637">
                  <c:v>315.68</c:v>
                </c:pt>
                <c:pt idx="638">
                  <c:v>317.83999999999997</c:v>
                </c:pt>
                <c:pt idx="639">
                  <c:v>315</c:v>
                </c:pt>
                <c:pt idx="640">
                  <c:v>317.58999999999997</c:v>
                </c:pt>
                <c:pt idx="641">
                  <c:v>320.33</c:v>
                </c:pt>
                <c:pt idx="642">
                  <c:v>323.14999999999998</c:v>
                </c:pt>
                <c:pt idx="643">
                  <c:v>319.93</c:v>
                </c:pt>
                <c:pt idx="644">
                  <c:v>322.64</c:v>
                </c:pt>
                <c:pt idx="645">
                  <c:v>325.39999999999998</c:v>
                </c:pt>
                <c:pt idx="646">
                  <c:v>330.55</c:v>
                </c:pt>
                <c:pt idx="647">
                  <c:v>331.26</c:v>
                </c:pt>
                <c:pt idx="648">
                  <c:v>333.32</c:v>
                </c:pt>
                <c:pt idx="649">
                  <c:v>337.12</c:v>
                </c:pt>
                <c:pt idx="650">
                  <c:v>341.12</c:v>
                </c:pt>
                <c:pt idx="651">
                  <c:v>341.18</c:v>
                </c:pt>
                <c:pt idx="652">
                  <c:v>342.92</c:v>
                </c:pt>
                <c:pt idx="653">
                  <c:v>341.26</c:v>
                </c:pt>
                <c:pt idx="654">
                  <c:v>343.72</c:v>
                </c:pt>
                <c:pt idx="655">
                  <c:v>346.54</c:v>
                </c:pt>
                <c:pt idx="656">
                  <c:v>346.04</c:v>
                </c:pt>
                <c:pt idx="657">
                  <c:v>347.78</c:v>
                </c:pt>
                <c:pt idx="658">
                  <c:v>347.11</c:v>
                </c:pt>
                <c:pt idx="659">
                  <c:v>347.34</c:v>
                </c:pt>
                <c:pt idx="660">
                  <c:v>333.85</c:v>
                </c:pt>
                <c:pt idx="661">
                  <c:v>337.39</c:v>
                </c:pt>
                <c:pt idx="662">
                  <c:v>342.87</c:v>
                </c:pt>
                <c:pt idx="663">
                  <c:v>345.24</c:v>
                </c:pt>
                <c:pt idx="664">
                  <c:v>348.92</c:v>
                </c:pt>
                <c:pt idx="665">
                  <c:v>349.38</c:v>
                </c:pt>
                <c:pt idx="666">
                  <c:v>350.02</c:v>
                </c:pt>
                <c:pt idx="667">
                  <c:v>350.92</c:v>
                </c:pt>
                <c:pt idx="668">
                  <c:v>352.66</c:v>
                </c:pt>
                <c:pt idx="669">
                  <c:v>356.45</c:v>
                </c:pt>
                <c:pt idx="670">
                  <c:v>358.92</c:v>
                </c:pt>
                <c:pt idx="671">
                  <c:v>358.84</c:v>
                </c:pt>
                <c:pt idx="672">
                  <c:v>360.72</c:v>
                </c:pt>
                <c:pt idx="673">
                  <c:v>364.42</c:v>
                </c:pt>
                <c:pt idx="674">
                  <c:v>366.1</c:v>
                </c:pt>
                <c:pt idx="675">
                  <c:v>369.43</c:v>
                </c:pt>
                <c:pt idx="676">
                  <c:v>370.14</c:v>
                </c:pt>
                <c:pt idx="677">
                  <c:v>369.32</c:v>
                </c:pt>
                <c:pt idx="678">
                  <c:v>365.02</c:v>
                </c:pt>
                <c:pt idx="679">
                  <c:v>358.98</c:v>
                </c:pt>
                <c:pt idx="680">
                  <c:v>364.69</c:v>
                </c:pt>
                <c:pt idx="681">
                  <c:v>366.98</c:v>
                </c:pt>
                <c:pt idx="682">
                  <c:v>365.13</c:v>
                </c:pt>
                <c:pt idx="683">
                  <c:v>363.32</c:v>
                </c:pt>
                <c:pt idx="684">
                  <c:v>361.06</c:v>
                </c:pt>
                <c:pt idx="685">
                  <c:v>355.11</c:v>
                </c:pt>
                <c:pt idx="686">
                  <c:v>352.51</c:v>
                </c:pt>
                <c:pt idx="687">
                  <c:v>350.2</c:v>
                </c:pt>
                <c:pt idx="688">
                  <c:v>365.17</c:v>
                </c:pt>
                <c:pt idx="689">
                  <c:v>376.15</c:v>
                </c:pt>
                <c:pt idx="690">
                  <c:v>380.47</c:v>
                </c:pt>
                <c:pt idx="691">
                  <c:v>384.36</c:v>
                </c:pt>
                <c:pt idx="692">
                  <c:v>383.19</c:v>
                </c:pt>
                <c:pt idx="693">
                  <c:v>388.57</c:v>
                </c:pt>
                <c:pt idx="694">
                  <c:v>388.77</c:v>
                </c:pt>
                <c:pt idx="695">
                  <c:v>389.5</c:v>
                </c:pt>
                <c:pt idx="696">
                  <c:v>392.62</c:v>
                </c:pt>
                <c:pt idx="697">
                  <c:v>393.72</c:v>
                </c:pt>
                <c:pt idx="698">
                  <c:v>398.44</c:v>
                </c:pt>
                <c:pt idx="699">
                  <c:v>397.6</c:v>
                </c:pt>
                <c:pt idx="700">
                  <c:v>398.04</c:v>
                </c:pt>
                <c:pt idx="701">
                  <c:v>397.7</c:v>
                </c:pt>
                <c:pt idx="702">
                  <c:v>392.04</c:v>
                </c:pt>
                <c:pt idx="703">
                  <c:v>385.82</c:v>
                </c:pt>
                <c:pt idx="704">
                  <c:v>389.08</c:v>
                </c:pt>
                <c:pt idx="705">
                  <c:v>394.74</c:v>
                </c:pt>
                <c:pt idx="706">
                  <c:v>397.72</c:v>
                </c:pt>
                <c:pt idx="707">
                  <c:v>389.05</c:v>
                </c:pt>
                <c:pt idx="708">
                  <c:v>393.6</c:v>
                </c:pt>
                <c:pt idx="709">
                  <c:v>397.36</c:v>
                </c:pt>
                <c:pt idx="710">
                  <c:v>403.85</c:v>
                </c:pt>
                <c:pt idx="711">
                  <c:v>402.98</c:v>
                </c:pt>
                <c:pt idx="712">
                  <c:v>397.03</c:v>
                </c:pt>
                <c:pt idx="713">
                  <c:v>398.08</c:v>
                </c:pt>
                <c:pt idx="714">
                  <c:v>398.65</c:v>
                </c:pt>
                <c:pt idx="715">
                  <c:v>400.95</c:v>
                </c:pt>
                <c:pt idx="716">
                  <c:v>398.27</c:v>
                </c:pt>
                <c:pt idx="717">
                  <c:v>396.31</c:v>
                </c:pt>
                <c:pt idx="718">
                  <c:v>396.31</c:v>
                </c:pt>
                <c:pt idx="719">
                  <c:v>389.59</c:v>
                </c:pt>
                <c:pt idx="720">
                  <c:v>384.29</c:v>
                </c:pt>
                <c:pt idx="721">
                  <c:v>386.82</c:v>
                </c:pt>
                <c:pt idx="722">
                  <c:v>385.66</c:v>
                </c:pt>
                <c:pt idx="723">
                  <c:v>388.72</c:v>
                </c:pt>
                <c:pt idx="724">
                  <c:v>381.8</c:v>
                </c:pt>
                <c:pt idx="725">
                  <c:v>376.66</c:v>
                </c:pt>
                <c:pt idx="726">
                  <c:v>381.18</c:v>
                </c:pt>
                <c:pt idx="727">
                  <c:v>385.72</c:v>
                </c:pt>
                <c:pt idx="728">
                  <c:v>384.61</c:v>
                </c:pt>
                <c:pt idx="729">
                  <c:v>389.39</c:v>
                </c:pt>
                <c:pt idx="730">
                  <c:v>382.45</c:v>
                </c:pt>
                <c:pt idx="731">
                  <c:v>382.35</c:v>
                </c:pt>
                <c:pt idx="732">
                  <c:v>387.88</c:v>
                </c:pt>
                <c:pt idx="733">
                  <c:v>390.42</c:v>
                </c:pt>
                <c:pt idx="734">
                  <c:v>389.58</c:v>
                </c:pt>
                <c:pt idx="735">
                  <c:v>372.19</c:v>
                </c:pt>
                <c:pt idx="736">
                  <c:v>378</c:v>
                </c:pt>
                <c:pt idx="737">
                  <c:v>378.64</c:v>
                </c:pt>
                <c:pt idx="738">
                  <c:v>380.25</c:v>
                </c:pt>
                <c:pt idx="739">
                  <c:v>374.06</c:v>
                </c:pt>
                <c:pt idx="740">
                  <c:v>373.14</c:v>
                </c:pt>
                <c:pt idx="741">
                  <c:v>376.39</c:v>
                </c:pt>
                <c:pt idx="742">
                  <c:v>375.54</c:v>
                </c:pt>
                <c:pt idx="743">
                  <c:v>379.67</c:v>
                </c:pt>
                <c:pt idx="744">
                  <c:v>383.87</c:v>
                </c:pt>
                <c:pt idx="745">
                  <c:v>390.51</c:v>
                </c:pt>
                <c:pt idx="746">
                  <c:v>390.35</c:v>
                </c:pt>
                <c:pt idx="747">
                  <c:v>386.61</c:v>
                </c:pt>
                <c:pt idx="748">
                  <c:v>387.86</c:v>
                </c:pt>
                <c:pt idx="749">
                  <c:v>385.7</c:v>
                </c:pt>
                <c:pt idx="750">
                  <c:v>387.9</c:v>
                </c:pt>
                <c:pt idx="751">
                  <c:v>390.48</c:v>
                </c:pt>
                <c:pt idx="752">
                  <c:v>391.78</c:v>
                </c:pt>
                <c:pt idx="753">
                  <c:v>395.67</c:v>
                </c:pt>
                <c:pt idx="754">
                  <c:v>397.58</c:v>
                </c:pt>
                <c:pt idx="755">
                  <c:v>395.3</c:v>
                </c:pt>
                <c:pt idx="756">
                  <c:v>393</c:v>
                </c:pt>
                <c:pt idx="757">
                  <c:v>400.36</c:v>
                </c:pt>
                <c:pt idx="758">
                  <c:v>406.42</c:v>
                </c:pt>
                <c:pt idx="759">
                  <c:v>407.15</c:v>
                </c:pt>
                <c:pt idx="760">
                  <c:v>406.73</c:v>
                </c:pt>
                <c:pt idx="761">
                  <c:v>413.75</c:v>
                </c:pt>
                <c:pt idx="762">
                  <c:v>417.16</c:v>
                </c:pt>
                <c:pt idx="763">
                  <c:v>417.32</c:v>
                </c:pt>
                <c:pt idx="764">
                  <c:v>419.83</c:v>
                </c:pt>
                <c:pt idx="765">
                  <c:v>420.48</c:v>
                </c:pt>
                <c:pt idx="766">
                  <c:v>418.29</c:v>
                </c:pt>
                <c:pt idx="767">
                  <c:v>421.19</c:v>
                </c:pt>
                <c:pt idx="768">
                  <c:v>418.89</c:v>
                </c:pt>
                <c:pt idx="769">
                  <c:v>422.62</c:v>
                </c:pt>
                <c:pt idx="770">
                  <c:v>426.53</c:v>
                </c:pt>
                <c:pt idx="771">
                  <c:v>426.96</c:v>
                </c:pt>
                <c:pt idx="772">
                  <c:v>431.1</c:v>
                </c:pt>
                <c:pt idx="773">
                  <c:v>431.12</c:v>
                </c:pt>
                <c:pt idx="774">
                  <c:v>426.9</c:v>
                </c:pt>
                <c:pt idx="775">
                  <c:v>431.25</c:v>
                </c:pt>
                <c:pt idx="776">
                  <c:v>430.71</c:v>
                </c:pt>
                <c:pt idx="777">
                  <c:v>430.63</c:v>
                </c:pt>
                <c:pt idx="778">
                  <c:v>433.19</c:v>
                </c:pt>
                <c:pt idx="779">
                  <c:v>431.13</c:v>
                </c:pt>
                <c:pt idx="780">
                  <c:v>427.49</c:v>
                </c:pt>
                <c:pt idx="781">
                  <c:v>424.8</c:v>
                </c:pt>
                <c:pt idx="782">
                  <c:v>426.87</c:v>
                </c:pt>
                <c:pt idx="783">
                  <c:v>428.09</c:v>
                </c:pt>
                <c:pt idx="784">
                  <c:v>426.73</c:v>
                </c:pt>
                <c:pt idx="785">
                  <c:v>428.56</c:v>
                </c:pt>
                <c:pt idx="786">
                  <c:v>431.36</c:v>
                </c:pt>
                <c:pt idx="787">
                  <c:v>431.77</c:v>
                </c:pt>
                <c:pt idx="788">
                  <c:v>430.72</c:v>
                </c:pt>
                <c:pt idx="789">
                  <c:v>431.72</c:v>
                </c:pt>
                <c:pt idx="790">
                  <c:v>431.74</c:v>
                </c:pt>
                <c:pt idx="791">
                  <c:v>432.8</c:v>
                </c:pt>
                <c:pt idx="792">
                  <c:v>435.63</c:v>
                </c:pt>
                <c:pt idx="793">
                  <c:v>436.92</c:v>
                </c:pt>
                <c:pt idx="794">
                  <c:v>437.88</c:v>
                </c:pt>
                <c:pt idx="795">
                  <c:v>435.12</c:v>
                </c:pt>
                <c:pt idx="796">
                  <c:v>436.18</c:v>
                </c:pt>
                <c:pt idx="797">
                  <c:v>439.39</c:v>
                </c:pt>
                <c:pt idx="798">
                  <c:v>444.1</c:v>
                </c:pt>
                <c:pt idx="799">
                  <c:v>446.18</c:v>
                </c:pt>
                <c:pt idx="800">
                  <c:v>448.2</c:v>
                </c:pt>
                <c:pt idx="801">
                  <c:v>452.56</c:v>
                </c:pt>
                <c:pt idx="802">
                  <c:v>450.16</c:v>
                </c:pt>
                <c:pt idx="803">
                  <c:v>443.32</c:v>
                </c:pt>
                <c:pt idx="804">
                  <c:v>450.59</c:v>
                </c:pt>
                <c:pt idx="805">
                  <c:v>452.08</c:v>
                </c:pt>
                <c:pt idx="806">
                  <c:v>451.42</c:v>
                </c:pt>
                <c:pt idx="807">
                  <c:v>450.6</c:v>
                </c:pt>
                <c:pt idx="808">
                  <c:v>449.52</c:v>
                </c:pt>
                <c:pt idx="809">
                  <c:v>453.67</c:v>
                </c:pt>
                <c:pt idx="810">
                  <c:v>454.6</c:v>
                </c:pt>
                <c:pt idx="811">
                  <c:v>456.85</c:v>
                </c:pt>
                <c:pt idx="812">
                  <c:v>460.04</c:v>
                </c:pt>
                <c:pt idx="813">
                  <c:v>460.2</c:v>
                </c:pt>
                <c:pt idx="814">
                  <c:v>459.17</c:v>
                </c:pt>
                <c:pt idx="815">
                  <c:v>458.29</c:v>
                </c:pt>
                <c:pt idx="816">
                  <c:v>457.98</c:v>
                </c:pt>
                <c:pt idx="817">
                  <c:v>453.68</c:v>
                </c:pt>
                <c:pt idx="818">
                  <c:v>453.25</c:v>
                </c:pt>
                <c:pt idx="819">
                  <c:v>457.41</c:v>
                </c:pt>
                <c:pt idx="820">
                  <c:v>458.03</c:v>
                </c:pt>
                <c:pt idx="821">
                  <c:v>456.51</c:v>
                </c:pt>
                <c:pt idx="822">
                  <c:v>456.65</c:v>
                </c:pt>
                <c:pt idx="823">
                  <c:v>455.66</c:v>
                </c:pt>
                <c:pt idx="824">
                  <c:v>446.61</c:v>
                </c:pt>
                <c:pt idx="825">
                  <c:v>444.32</c:v>
                </c:pt>
                <c:pt idx="826">
                  <c:v>450.01</c:v>
                </c:pt>
                <c:pt idx="827">
                  <c:v>451.78</c:v>
                </c:pt>
                <c:pt idx="828">
                  <c:v>451.74</c:v>
                </c:pt>
                <c:pt idx="829">
                  <c:v>453.24</c:v>
                </c:pt>
                <c:pt idx="830">
                  <c:v>460.75</c:v>
                </c:pt>
                <c:pt idx="831">
                  <c:v>465.51</c:v>
                </c:pt>
                <c:pt idx="832">
                  <c:v>466.83</c:v>
                </c:pt>
                <c:pt idx="833">
                  <c:v>468.8</c:v>
                </c:pt>
                <c:pt idx="834">
                  <c:v>470.49</c:v>
                </c:pt>
                <c:pt idx="835">
                  <c:v>473.36</c:v>
                </c:pt>
                <c:pt idx="836">
                  <c:v>473.88</c:v>
                </c:pt>
                <c:pt idx="837">
                  <c:v>473.71</c:v>
                </c:pt>
                <c:pt idx="838">
                  <c:v>473.63</c:v>
                </c:pt>
                <c:pt idx="839">
                  <c:v>474.11</c:v>
                </c:pt>
                <c:pt idx="840">
                  <c:v>476.93</c:v>
                </c:pt>
                <c:pt idx="841">
                  <c:v>481.19</c:v>
                </c:pt>
                <c:pt idx="842">
                  <c:v>483.48</c:v>
                </c:pt>
                <c:pt idx="843">
                  <c:v>481.52</c:v>
                </c:pt>
                <c:pt idx="844">
                  <c:v>473.95</c:v>
                </c:pt>
                <c:pt idx="845">
                  <c:v>476.08</c:v>
                </c:pt>
                <c:pt idx="846">
                  <c:v>479.16</c:v>
                </c:pt>
                <c:pt idx="847">
                  <c:v>483.48</c:v>
                </c:pt>
                <c:pt idx="848">
                  <c:v>482.34</c:v>
                </c:pt>
                <c:pt idx="849">
                  <c:v>482.15</c:v>
                </c:pt>
                <c:pt idx="850">
                  <c:v>477.46</c:v>
                </c:pt>
                <c:pt idx="851">
                  <c:v>477.52</c:v>
                </c:pt>
                <c:pt idx="852">
                  <c:v>477.8</c:v>
                </c:pt>
                <c:pt idx="853">
                  <c:v>478.59</c:v>
                </c:pt>
                <c:pt idx="854">
                  <c:v>482.42</c:v>
                </c:pt>
                <c:pt idx="855">
                  <c:v>484.04</c:v>
                </c:pt>
                <c:pt idx="856">
                  <c:v>479.05</c:v>
                </c:pt>
                <c:pt idx="857">
                  <c:v>485.24</c:v>
                </c:pt>
                <c:pt idx="858">
                  <c:v>487.69</c:v>
                </c:pt>
                <c:pt idx="859">
                  <c:v>491.3</c:v>
                </c:pt>
                <c:pt idx="860">
                  <c:v>492.76</c:v>
                </c:pt>
                <c:pt idx="861">
                  <c:v>498.95</c:v>
                </c:pt>
                <c:pt idx="862">
                  <c:v>503.85</c:v>
                </c:pt>
                <c:pt idx="863">
                  <c:v>504.99</c:v>
                </c:pt>
                <c:pt idx="864">
                  <c:v>500.67</c:v>
                </c:pt>
                <c:pt idx="865">
                  <c:v>495.35</c:v>
                </c:pt>
                <c:pt idx="866">
                  <c:v>493.31</c:v>
                </c:pt>
                <c:pt idx="867">
                  <c:v>492.01</c:v>
                </c:pt>
                <c:pt idx="868">
                  <c:v>492.43</c:v>
                </c:pt>
                <c:pt idx="869">
                  <c:v>497.66</c:v>
                </c:pt>
                <c:pt idx="870">
                  <c:v>497.68</c:v>
                </c:pt>
                <c:pt idx="871">
                  <c:v>490.37</c:v>
                </c:pt>
                <c:pt idx="872">
                  <c:v>489.15</c:v>
                </c:pt>
                <c:pt idx="873">
                  <c:v>495.13</c:v>
                </c:pt>
                <c:pt idx="874">
                  <c:v>498.46</c:v>
                </c:pt>
                <c:pt idx="875">
                  <c:v>497.71</c:v>
                </c:pt>
                <c:pt idx="876">
                  <c:v>506</c:v>
                </c:pt>
                <c:pt idx="877">
                  <c:v>507.47</c:v>
                </c:pt>
                <c:pt idx="878">
                  <c:v>506.71</c:v>
                </c:pt>
                <c:pt idx="879">
                  <c:v>502.33</c:v>
                </c:pt>
                <c:pt idx="880">
                  <c:v>506.17</c:v>
                </c:pt>
                <c:pt idx="881">
                  <c:v>503.96</c:v>
                </c:pt>
                <c:pt idx="882">
                  <c:v>501.82</c:v>
                </c:pt>
                <c:pt idx="883">
                  <c:v>500.67</c:v>
                </c:pt>
                <c:pt idx="884">
                  <c:v>494.81</c:v>
                </c:pt>
                <c:pt idx="885">
                  <c:v>482.55</c:v>
                </c:pt>
                <c:pt idx="886">
                  <c:v>486.9</c:v>
                </c:pt>
                <c:pt idx="887">
                  <c:v>486.88</c:v>
                </c:pt>
                <c:pt idx="888">
                  <c:v>488</c:v>
                </c:pt>
                <c:pt idx="889">
                  <c:v>472.66</c:v>
                </c:pt>
                <c:pt idx="890">
                  <c:v>469.96</c:v>
                </c:pt>
                <c:pt idx="891">
                  <c:v>472.19</c:v>
                </c:pt>
                <c:pt idx="892">
                  <c:v>473.87</c:v>
                </c:pt>
                <c:pt idx="893">
                  <c:v>477.15</c:v>
                </c:pt>
                <c:pt idx="894">
                  <c:v>475.31</c:v>
                </c:pt>
                <c:pt idx="895">
                  <c:v>467.73</c:v>
                </c:pt>
                <c:pt idx="896">
                  <c:v>474.33</c:v>
                </c:pt>
                <c:pt idx="897">
                  <c:v>483.02</c:v>
                </c:pt>
                <c:pt idx="898">
                  <c:v>483.6</c:v>
                </c:pt>
                <c:pt idx="899">
                  <c:v>485.57</c:v>
                </c:pt>
                <c:pt idx="900">
                  <c:v>486.19</c:v>
                </c:pt>
                <c:pt idx="901">
                  <c:v>484.95</c:v>
                </c:pt>
                <c:pt idx="902">
                  <c:v>482.44</c:v>
                </c:pt>
                <c:pt idx="903">
                  <c:v>480.66</c:v>
                </c:pt>
                <c:pt idx="904">
                  <c:v>473.71</c:v>
                </c:pt>
                <c:pt idx="905">
                  <c:v>461.69</c:v>
                </c:pt>
                <c:pt idx="906">
                  <c:v>466.63</c:v>
                </c:pt>
                <c:pt idx="907">
                  <c:v>473.21</c:v>
                </c:pt>
                <c:pt idx="908">
                  <c:v>477.02</c:v>
                </c:pt>
                <c:pt idx="909">
                  <c:v>473.93</c:v>
                </c:pt>
                <c:pt idx="910">
                  <c:v>474.98</c:v>
                </c:pt>
                <c:pt idx="911">
                  <c:v>479.19</c:v>
                </c:pt>
                <c:pt idx="912">
                  <c:v>478.26</c:v>
                </c:pt>
                <c:pt idx="913">
                  <c:v>478.72</c:v>
                </c:pt>
                <c:pt idx="914">
                  <c:v>482.92</c:v>
                </c:pt>
                <c:pt idx="915">
                  <c:v>489.66</c:v>
                </c:pt>
                <c:pt idx="916">
                  <c:v>491.53</c:v>
                </c:pt>
                <c:pt idx="917">
                  <c:v>492.93</c:v>
                </c:pt>
                <c:pt idx="918">
                  <c:v>491.84</c:v>
                </c:pt>
                <c:pt idx="919">
                  <c:v>494.73</c:v>
                </c:pt>
                <c:pt idx="920">
                  <c:v>499.5</c:v>
                </c:pt>
                <c:pt idx="921">
                  <c:v>500.36</c:v>
                </c:pt>
                <c:pt idx="922">
                  <c:v>503.4</c:v>
                </c:pt>
                <c:pt idx="923">
                  <c:v>504.12</c:v>
                </c:pt>
                <c:pt idx="924">
                  <c:v>504.87</c:v>
                </c:pt>
                <c:pt idx="925">
                  <c:v>505.6</c:v>
                </c:pt>
                <c:pt idx="926">
                  <c:v>499.25</c:v>
                </c:pt>
                <c:pt idx="927">
                  <c:v>498.05</c:v>
                </c:pt>
                <c:pt idx="928">
                  <c:v>495.46</c:v>
                </c:pt>
                <c:pt idx="929">
                  <c:v>487.62</c:v>
                </c:pt>
                <c:pt idx="930">
                  <c:v>474.99</c:v>
                </c:pt>
                <c:pt idx="931">
                  <c:v>478.96</c:v>
                </c:pt>
                <c:pt idx="932">
                  <c:v>475.51</c:v>
                </c:pt>
                <c:pt idx="933">
                  <c:v>476.24</c:v>
                </c:pt>
                <c:pt idx="934">
                  <c:v>483.83</c:v>
                </c:pt>
                <c:pt idx="935">
                  <c:v>489.84</c:v>
                </c:pt>
                <c:pt idx="936">
                  <c:v>494.14</c:v>
                </c:pt>
                <c:pt idx="937">
                  <c:v>489.88</c:v>
                </c:pt>
                <c:pt idx="938">
                  <c:v>487.86</c:v>
                </c:pt>
                <c:pt idx="939">
                  <c:v>482.67</c:v>
                </c:pt>
                <c:pt idx="940">
                  <c:v>480.98</c:v>
                </c:pt>
                <c:pt idx="941">
                  <c:v>485.24</c:v>
                </c:pt>
                <c:pt idx="942">
                  <c:v>489.53</c:v>
                </c:pt>
                <c:pt idx="943">
                  <c:v>480.91</c:v>
                </c:pt>
                <c:pt idx="944">
                  <c:v>465.58</c:v>
                </c:pt>
                <c:pt idx="945">
                  <c:v>476.62</c:v>
                </c:pt>
                <c:pt idx="946">
                  <c:v>475.44</c:v>
                </c:pt>
                <c:pt idx="947">
                  <c:v>473.08</c:v>
                </c:pt>
                <c:pt idx="948">
                  <c:v>470.96</c:v>
                </c:pt>
                <c:pt idx="949">
                  <c:v>467.88</c:v>
                </c:pt>
                <c:pt idx="950">
                  <c:v>463.44</c:v>
                </c:pt>
                <c:pt idx="951">
                  <c:v>463.29</c:v>
                </c:pt>
                <c:pt idx="952">
                  <c:v>442.73</c:v>
                </c:pt>
                <c:pt idx="953">
                  <c:v>456.37</c:v>
                </c:pt>
                <c:pt idx="954">
                  <c:v>459.8</c:v>
                </c:pt>
                <c:pt idx="955">
                  <c:v>455.57</c:v>
                </c:pt>
                <c:pt idx="956">
                  <c:v>452.67</c:v>
                </c:pt>
                <c:pt idx="957">
                  <c:v>445.12</c:v>
                </c:pt>
                <c:pt idx="958">
                  <c:v>435.14</c:v>
                </c:pt>
                <c:pt idx="959">
                  <c:v>439.95</c:v>
                </c:pt>
                <c:pt idx="960">
                  <c:v>446.01</c:v>
                </c:pt>
                <c:pt idx="961">
                  <c:v>451.7</c:v>
                </c:pt>
                <c:pt idx="962">
                  <c:v>453.98</c:v>
                </c:pt>
                <c:pt idx="963">
                  <c:v>457.31</c:v>
                </c:pt>
                <c:pt idx="964">
                  <c:v>454.37</c:v>
                </c:pt>
                <c:pt idx="965">
                  <c:v>462.51</c:v>
                </c:pt>
                <c:pt idx="966">
                  <c:v>468.56</c:v>
                </c:pt>
                <c:pt idx="967">
                  <c:v>464.81</c:v>
                </c:pt>
                <c:pt idx="968">
                  <c:v>467.51</c:v>
                </c:pt>
                <c:pt idx="969">
                  <c:v>468.03</c:v>
                </c:pt>
                <c:pt idx="970">
                  <c:v>467.64</c:v>
                </c:pt>
                <c:pt idx="971">
                  <c:v>466.14</c:v>
                </c:pt>
                <c:pt idx="972">
                  <c:v>467.61</c:v>
                </c:pt>
                <c:pt idx="973">
                  <c:v>472.16</c:v>
                </c:pt>
                <c:pt idx="974">
                  <c:v>475.76</c:v>
                </c:pt>
                <c:pt idx="975">
                  <c:v>478</c:v>
                </c:pt>
                <c:pt idx="976">
                  <c:v>482.16</c:v>
                </c:pt>
                <c:pt idx="977">
                  <c:v>489.16</c:v>
                </c:pt>
                <c:pt idx="978">
                  <c:v>490.91</c:v>
                </c:pt>
                <c:pt idx="979">
                  <c:v>490.8</c:v>
                </c:pt>
                <c:pt idx="980">
                  <c:v>489.04</c:v>
                </c:pt>
                <c:pt idx="981">
                  <c:v>493.36</c:v>
                </c:pt>
                <c:pt idx="982">
                  <c:v>492.09</c:v>
                </c:pt>
                <c:pt idx="983">
                  <c:v>486.82</c:v>
                </c:pt>
                <c:pt idx="984">
                  <c:v>486.85</c:v>
                </c:pt>
                <c:pt idx="985">
                  <c:v>478.59</c:v>
                </c:pt>
                <c:pt idx="986">
                  <c:v>472.83</c:v>
                </c:pt>
                <c:pt idx="987">
                  <c:v>474.78</c:v>
                </c:pt>
                <c:pt idx="988">
                  <c:v>479.56</c:v>
                </c:pt>
                <c:pt idx="989">
                  <c:v>477.12</c:v>
                </c:pt>
                <c:pt idx="990">
                  <c:v>470.9</c:v>
                </c:pt>
                <c:pt idx="991">
                  <c:v>477</c:v>
                </c:pt>
                <c:pt idx="992">
                  <c:v>473.66</c:v>
                </c:pt>
                <c:pt idx="993">
                  <c:v>479.54</c:v>
                </c:pt>
                <c:pt idx="994">
                  <c:v>475.63</c:v>
                </c:pt>
                <c:pt idx="995">
                  <c:v>471.87</c:v>
                </c:pt>
                <c:pt idx="996">
                  <c:v>461.82</c:v>
                </c:pt>
                <c:pt idx="997">
                  <c:v>462.32</c:v>
                </c:pt>
                <c:pt idx="998">
                  <c:v>453.11</c:v>
                </c:pt>
                <c:pt idx="999">
                  <c:v>448.81</c:v>
                </c:pt>
                <c:pt idx="1000">
                  <c:v>443.69</c:v>
                </c:pt>
                <c:pt idx="1001">
                  <c:v>439.75</c:v>
                </c:pt>
                <c:pt idx="1002">
                  <c:v>431.45</c:v>
                </c:pt>
                <c:pt idx="1003">
                  <c:v>431.46</c:v>
                </c:pt>
                <c:pt idx="1004">
                  <c:v>436.9</c:v>
                </c:pt>
                <c:pt idx="1005">
                  <c:v>447.12</c:v>
                </c:pt>
                <c:pt idx="1006">
                  <c:v>445.93</c:v>
                </c:pt>
                <c:pt idx="1007">
                  <c:v>435.77</c:v>
                </c:pt>
                <c:pt idx="1008">
                  <c:v>445.04</c:v>
                </c:pt>
                <c:pt idx="1009">
                  <c:v>444.05</c:v>
                </c:pt>
                <c:pt idx="1010">
                  <c:v>440.95</c:v>
                </c:pt>
                <c:pt idx="1011">
                  <c:v>435.93</c:v>
                </c:pt>
                <c:pt idx="1012">
                  <c:v>440.91</c:v>
                </c:pt>
                <c:pt idx="1013">
                  <c:v>444.71</c:v>
                </c:pt>
                <c:pt idx="1014">
                  <c:v>453.78</c:v>
                </c:pt>
                <c:pt idx="1015">
                  <c:v>454.51</c:v>
                </c:pt>
                <c:pt idx="1016">
                  <c:v>454.43</c:v>
                </c:pt>
                <c:pt idx="1017">
                  <c:v>456.88</c:v>
                </c:pt>
                <c:pt idx="1018">
                  <c:v>452.79</c:v>
                </c:pt>
                <c:pt idx="1019">
                  <c:v>450.42</c:v>
                </c:pt>
                <c:pt idx="1020">
                  <c:v>447.62</c:v>
                </c:pt>
                <c:pt idx="1021">
                  <c:v>447.5</c:v>
                </c:pt>
                <c:pt idx="1022">
                  <c:v>449.74</c:v>
                </c:pt>
                <c:pt idx="1023">
                  <c:v>445.33</c:v>
                </c:pt>
                <c:pt idx="1024">
                  <c:v>434.89</c:v>
                </c:pt>
                <c:pt idx="1025">
                  <c:v>434.54</c:v>
                </c:pt>
                <c:pt idx="1026">
                  <c:v>434.44</c:v>
                </c:pt>
                <c:pt idx="1027">
                  <c:v>426.04</c:v>
                </c:pt>
                <c:pt idx="1028">
                  <c:v>423.39</c:v>
                </c:pt>
                <c:pt idx="1029">
                  <c:v>420.99</c:v>
                </c:pt>
                <c:pt idx="1030">
                  <c:v>429.48</c:v>
                </c:pt>
                <c:pt idx="1031">
                  <c:v>425.61</c:v>
                </c:pt>
                <c:pt idx="1032">
                  <c:v>430</c:v>
                </c:pt>
                <c:pt idx="1033">
                  <c:v>434.95</c:v>
                </c:pt>
                <c:pt idx="1034">
                  <c:v>440.23</c:v>
                </c:pt>
                <c:pt idx="1035">
                  <c:v>441.48</c:v>
                </c:pt>
                <c:pt idx="1036">
                  <c:v>440.56</c:v>
                </c:pt>
                <c:pt idx="1037">
                  <c:v>439.71</c:v>
                </c:pt>
                <c:pt idx="1038">
                  <c:v>441.02</c:v>
                </c:pt>
                <c:pt idx="1039">
                  <c:v>444.92</c:v>
                </c:pt>
                <c:pt idx="1040">
                  <c:v>445.63</c:v>
                </c:pt>
                <c:pt idx="1041">
                  <c:v>449.85</c:v>
                </c:pt>
                <c:pt idx="1042">
                  <c:v>454.91</c:v>
                </c:pt>
                <c:pt idx="1043">
                  <c:v>457.82</c:v>
                </c:pt>
                <c:pt idx="1044">
                  <c:v>460.12</c:v>
                </c:pt>
                <c:pt idx="1045">
                  <c:v>456.57</c:v>
                </c:pt>
                <c:pt idx="1046">
                  <c:v>456.14</c:v>
                </c:pt>
                <c:pt idx="1047">
                  <c:v>454.56</c:v>
                </c:pt>
                <c:pt idx="1048">
                  <c:v>456.91</c:v>
                </c:pt>
                <c:pt idx="1049">
                  <c:v>464.1</c:v>
                </c:pt>
                <c:pt idx="1050">
                  <c:v>466.34</c:v>
                </c:pt>
                <c:pt idx="1051">
                  <c:v>468.23</c:v>
                </c:pt>
                <c:pt idx="1052">
                  <c:v>472.11</c:v>
                </c:pt>
                <c:pt idx="1053">
                  <c:v>473.35</c:v>
                </c:pt>
                <c:pt idx="1054">
                  <c:v>472.47</c:v>
                </c:pt>
                <c:pt idx="1055">
                  <c:v>468.36</c:v>
                </c:pt>
                <c:pt idx="1056">
                  <c:v>470.15</c:v>
                </c:pt>
                <c:pt idx="1057">
                  <c:v>474.63</c:v>
                </c:pt>
                <c:pt idx="1058">
                  <c:v>480.8</c:v>
                </c:pt>
                <c:pt idx="1059">
                  <c:v>485.43</c:v>
                </c:pt>
                <c:pt idx="1060">
                  <c:v>485.81</c:v>
                </c:pt>
                <c:pt idx="1061">
                  <c:v>484.77</c:v>
                </c:pt>
                <c:pt idx="1062">
                  <c:v>484.8</c:v>
                </c:pt>
                <c:pt idx="1063">
                  <c:v>485.9</c:v>
                </c:pt>
                <c:pt idx="1064">
                  <c:v>488.2</c:v>
                </c:pt>
                <c:pt idx="1065">
                  <c:v>488.16</c:v>
                </c:pt>
                <c:pt idx="1066">
                  <c:v>491.37</c:v>
                </c:pt>
                <c:pt idx="1067">
                  <c:v>491.94</c:v>
                </c:pt>
                <c:pt idx="1068">
                  <c:v>494.82</c:v>
                </c:pt>
                <c:pt idx="1069">
                  <c:v>497.33</c:v>
                </c:pt>
                <c:pt idx="1070">
                  <c:v>498.08</c:v>
                </c:pt>
                <c:pt idx="1071">
                  <c:v>493.12</c:v>
                </c:pt>
                <c:pt idx="1072">
                  <c:v>486.22</c:v>
                </c:pt>
                <c:pt idx="1073">
                  <c:v>488.43</c:v>
                </c:pt>
                <c:pt idx="1074">
                  <c:v>490.51</c:v>
                </c:pt>
                <c:pt idx="1075">
                  <c:v>491.97</c:v>
                </c:pt>
                <c:pt idx="1076">
                  <c:v>493.77</c:v>
                </c:pt>
                <c:pt idx="1077">
                  <c:v>488.27</c:v>
                </c:pt>
                <c:pt idx="1078">
                  <c:v>497.33</c:v>
                </c:pt>
                <c:pt idx="1079">
                  <c:v>495.7</c:v>
                </c:pt>
                <c:pt idx="1080">
                  <c:v>495.51</c:v>
                </c:pt>
                <c:pt idx="1081">
                  <c:v>499.11</c:v>
                </c:pt>
                <c:pt idx="1082">
                  <c:v>499.64</c:v>
                </c:pt>
                <c:pt idx="1083">
                  <c:v>499.93</c:v>
                </c:pt>
                <c:pt idx="1084">
                  <c:v>504.67</c:v>
                </c:pt>
                <c:pt idx="1085">
                  <c:v>505.61</c:v>
                </c:pt>
                <c:pt idx="1086">
                  <c:v>509</c:v>
                </c:pt>
                <c:pt idx="1087">
                  <c:v>510.73</c:v>
                </c:pt>
                <c:pt idx="1088">
                  <c:v>510.47</c:v>
                </c:pt>
                <c:pt idx="1089">
                  <c:v>508.7</c:v>
                </c:pt>
                <c:pt idx="1090">
                  <c:v>498.11</c:v>
                </c:pt>
                <c:pt idx="1091">
                  <c:v>499.71</c:v>
                </c:pt>
                <c:pt idx="1092">
                  <c:v>505.93</c:v>
                </c:pt>
                <c:pt idx="1093">
                  <c:v>502.68</c:v>
                </c:pt>
                <c:pt idx="1094">
                  <c:v>501.91</c:v>
                </c:pt>
                <c:pt idx="1095">
                  <c:v>492.66</c:v>
                </c:pt>
                <c:pt idx="1096">
                  <c:v>484.01</c:v>
                </c:pt>
                <c:pt idx="1097">
                  <c:v>483.84</c:v>
                </c:pt>
                <c:pt idx="1098">
                  <c:v>482.34</c:v>
                </c:pt>
                <c:pt idx="1099">
                  <c:v>482.89</c:v>
                </c:pt>
                <c:pt idx="1100">
                  <c:v>491.28</c:v>
                </c:pt>
                <c:pt idx="1101">
                  <c:v>486.68</c:v>
                </c:pt>
                <c:pt idx="1102">
                  <c:v>494.72</c:v>
                </c:pt>
                <c:pt idx="1103">
                  <c:v>499.85</c:v>
                </c:pt>
                <c:pt idx="1104">
                  <c:v>499.35</c:v>
                </c:pt>
                <c:pt idx="1105">
                  <c:v>497.07</c:v>
                </c:pt>
                <c:pt idx="1106">
                  <c:v>490.34</c:v>
                </c:pt>
                <c:pt idx="1107">
                  <c:v>492.8</c:v>
                </c:pt>
                <c:pt idx="1108">
                  <c:v>490.01</c:v>
                </c:pt>
                <c:pt idx="1109">
                  <c:v>490.96</c:v>
                </c:pt>
                <c:pt idx="1110">
                  <c:v>492.8</c:v>
                </c:pt>
                <c:pt idx="1111">
                  <c:v>498.46</c:v>
                </c:pt>
                <c:pt idx="1112">
                  <c:v>498.68</c:v>
                </c:pt>
                <c:pt idx="1113">
                  <c:v>498.72</c:v>
                </c:pt>
                <c:pt idx="1114">
                  <c:v>497.79</c:v>
                </c:pt>
                <c:pt idx="1115">
                  <c:v>502.7</c:v>
                </c:pt>
                <c:pt idx="1116">
                  <c:v>505.74</c:v>
                </c:pt>
                <c:pt idx="1117">
                  <c:v>503.52</c:v>
                </c:pt>
                <c:pt idx="1118">
                  <c:v>508.03</c:v>
                </c:pt>
                <c:pt idx="1119">
                  <c:v>511.58</c:v>
                </c:pt>
                <c:pt idx="1120">
                  <c:v>510.53</c:v>
                </c:pt>
                <c:pt idx="1121">
                  <c:v>511.46</c:v>
                </c:pt>
                <c:pt idx="1122">
                  <c:v>511.24</c:v>
                </c:pt>
                <c:pt idx="1123">
                  <c:v>514.47</c:v>
                </c:pt>
                <c:pt idx="1124">
                  <c:v>513.20000000000005</c:v>
                </c:pt>
                <c:pt idx="1125">
                  <c:v>510.49</c:v>
                </c:pt>
                <c:pt idx="1126">
                  <c:v>513.55999999999995</c:v>
                </c:pt>
                <c:pt idx="1127">
                  <c:v>513.30999999999995</c:v>
                </c:pt>
                <c:pt idx="1128">
                  <c:v>514.98</c:v>
                </c:pt>
                <c:pt idx="1129">
                  <c:v>514.91999999999996</c:v>
                </c:pt>
                <c:pt idx="1130">
                  <c:v>513.9</c:v>
                </c:pt>
                <c:pt idx="1131">
                  <c:v>510.85</c:v>
                </c:pt>
                <c:pt idx="1132">
                  <c:v>507.99</c:v>
                </c:pt>
                <c:pt idx="1133">
                  <c:v>509.12</c:v>
                </c:pt>
                <c:pt idx="1134">
                  <c:v>511.05</c:v>
                </c:pt>
                <c:pt idx="1135">
                  <c:v>515.17999999999995</c:v>
                </c:pt>
                <c:pt idx="1136">
                  <c:v>516.83000000000004</c:v>
                </c:pt>
                <c:pt idx="1137">
                  <c:v>519.76</c:v>
                </c:pt>
                <c:pt idx="1138">
                  <c:v>519.98</c:v>
                </c:pt>
                <c:pt idx="1139">
                  <c:v>523.69000000000005</c:v>
                </c:pt>
                <c:pt idx="1140">
                  <c:v>526.48</c:v>
                </c:pt>
                <c:pt idx="1141">
                  <c:v>527.16999999999996</c:v>
                </c:pt>
                <c:pt idx="1142">
                  <c:v>528.35</c:v>
                </c:pt>
                <c:pt idx="1143">
                  <c:v>525.55999999999995</c:v>
                </c:pt>
                <c:pt idx="1144">
                  <c:v>522.55999999999995</c:v>
                </c:pt>
                <c:pt idx="1145">
                  <c:v>524.41</c:v>
                </c:pt>
                <c:pt idx="1146">
                  <c:v>521.51</c:v>
                </c:pt>
                <c:pt idx="1147">
                  <c:v>522.04</c:v>
                </c:pt>
                <c:pt idx="1148">
                  <c:v>524.9</c:v>
                </c:pt>
                <c:pt idx="1149">
                  <c:v>526.67999999999995</c:v>
                </c:pt>
                <c:pt idx="1150">
                  <c:v>522.57000000000005</c:v>
                </c:pt>
                <c:pt idx="1151">
                  <c:v>517.91</c:v>
                </c:pt>
                <c:pt idx="1152">
                  <c:v>519.72</c:v>
                </c:pt>
                <c:pt idx="1153">
                  <c:v>518.16</c:v>
                </c:pt>
                <c:pt idx="1154">
                  <c:v>511.14</c:v>
                </c:pt>
                <c:pt idx="1155">
                  <c:v>507.82</c:v>
                </c:pt>
                <c:pt idx="1156">
                  <c:v>495.54</c:v>
                </c:pt>
                <c:pt idx="1157">
                  <c:v>504.41</c:v>
                </c:pt>
                <c:pt idx="1158">
                  <c:v>508.31</c:v>
                </c:pt>
                <c:pt idx="1159">
                  <c:v>508.63</c:v>
                </c:pt>
                <c:pt idx="1160">
                  <c:v>510.15</c:v>
                </c:pt>
                <c:pt idx="1161">
                  <c:v>510</c:v>
                </c:pt>
                <c:pt idx="1162">
                  <c:v>512.88</c:v>
                </c:pt>
                <c:pt idx="1163">
                  <c:v>513.38</c:v>
                </c:pt>
                <c:pt idx="1164">
                  <c:v>509.42</c:v>
                </c:pt>
                <c:pt idx="1165">
                  <c:v>509.87</c:v>
                </c:pt>
                <c:pt idx="1166">
                  <c:v>506.5</c:v>
                </c:pt>
                <c:pt idx="1167">
                  <c:v>510.12</c:v>
                </c:pt>
                <c:pt idx="1168">
                  <c:v>507.73</c:v>
                </c:pt>
                <c:pt idx="1169">
                  <c:v>508.84</c:v>
                </c:pt>
                <c:pt idx="1170">
                  <c:v>509.33</c:v>
                </c:pt>
                <c:pt idx="1171">
                  <c:v>510.39</c:v>
                </c:pt>
                <c:pt idx="1172">
                  <c:v>508.74</c:v>
                </c:pt>
                <c:pt idx="1173">
                  <c:v>508.98</c:v>
                </c:pt>
                <c:pt idx="1174">
                  <c:v>510.59</c:v>
                </c:pt>
                <c:pt idx="1175">
                  <c:v>509.52</c:v>
                </c:pt>
                <c:pt idx="1176">
                  <c:v>507.2</c:v>
                </c:pt>
                <c:pt idx="1177">
                  <c:v>508.25</c:v>
                </c:pt>
                <c:pt idx="1178">
                  <c:v>507.37</c:v>
                </c:pt>
                <c:pt idx="1179">
                  <c:v>502.71</c:v>
                </c:pt>
                <c:pt idx="1180">
                  <c:v>496.77</c:v>
                </c:pt>
                <c:pt idx="1181">
                  <c:v>497.17</c:v>
                </c:pt>
                <c:pt idx="1182">
                  <c:v>501.74</c:v>
                </c:pt>
                <c:pt idx="1183">
                  <c:v>499.75</c:v>
                </c:pt>
                <c:pt idx="1184">
                  <c:v>500.68</c:v>
                </c:pt>
                <c:pt idx="1185">
                  <c:v>502.91</c:v>
                </c:pt>
                <c:pt idx="1186">
                  <c:v>505.18</c:v>
                </c:pt>
                <c:pt idx="1187">
                  <c:v>504.31</c:v>
                </c:pt>
                <c:pt idx="1188">
                  <c:v>507.31</c:v>
                </c:pt>
                <c:pt idx="1189">
                  <c:v>508.37</c:v>
                </c:pt>
                <c:pt idx="1190">
                  <c:v>509.75</c:v>
                </c:pt>
                <c:pt idx="1191">
                  <c:v>505.53</c:v>
                </c:pt>
                <c:pt idx="1192">
                  <c:v>506.82</c:v>
                </c:pt>
                <c:pt idx="1193">
                  <c:v>508.76</c:v>
                </c:pt>
                <c:pt idx="1194">
                  <c:v>510.58</c:v>
                </c:pt>
                <c:pt idx="1195">
                  <c:v>508.75</c:v>
                </c:pt>
                <c:pt idx="1196">
                  <c:v>507.86</c:v>
                </c:pt>
                <c:pt idx="1197">
                  <c:v>507.2</c:v>
                </c:pt>
                <c:pt idx="1198">
                  <c:v>502.8</c:v>
                </c:pt>
                <c:pt idx="1199">
                  <c:v>502.45</c:v>
                </c:pt>
                <c:pt idx="1200">
                  <c:v>500.88</c:v>
                </c:pt>
                <c:pt idx="1201">
                  <c:v>498.09</c:v>
                </c:pt>
                <c:pt idx="1202">
                  <c:v>497.98</c:v>
                </c:pt>
                <c:pt idx="1203">
                  <c:v>502.09</c:v>
                </c:pt>
                <c:pt idx="1204">
                  <c:v>500.23</c:v>
                </c:pt>
                <c:pt idx="1205">
                  <c:v>504.14</c:v>
                </c:pt>
                <c:pt idx="1206">
                  <c:v>506.68</c:v>
                </c:pt>
                <c:pt idx="1207">
                  <c:v>508.45</c:v>
                </c:pt>
                <c:pt idx="1208">
                  <c:v>505.44</c:v>
                </c:pt>
                <c:pt idx="1209">
                  <c:v>501.47</c:v>
                </c:pt>
                <c:pt idx="1210">
                  <c:v>493.67</c:v>
                </c:pt>
                <c:pt idx="1211">
                  <c:v>491.91</c:v>
                </c:pt>
                <c:pt idx="1212">
                  <c:v>490.96</c:v>
                </c:pt>
                <c:pt idx="1213">
                  <c:v>489.97</c:v>
                </c:pt>
                <c:pt idx="1214">
                  <c:v>491.82</c:v>
                </c:pt>
                <c:pt idx="1215">
                  <c:v>488.24</c:v>
                </c:pt>
                <c:pt idx="1216">
                  <c:v>491.26</c:v>
                </c:pt>
                <c:pt idx="1217">
                  <c:v>492.81</c:v>
                </c:pt>
                <c:pt idx="1218">
                  <c:v>491.28</c:v>
                </c:pt>
                <c:pt idx="1219">
                  <c:v>487.83</c:v>
                </c:pt>
                <c:pt idx="1220">
                  <c:v>486.63</c:v>
                </c:pt>
                <c:pt idx="1221">
                  <c:v>485.34</c:v>
                </c:pt>
                <c:pt idx="1222">
                  <c:v>491.73</c:v>
                </c:pt>
                <c:pt idx="1223">
                  <c:v>497.61</c:v>
                </c:pt>
                <c:pt idx="1224">
                  <c:v>499.49</c:v>
                </c:pt>
                <c:pt idx="1225">
                  <c:v>500.6</c:v>
                </c:pt>
                <c:pt idx="1226">
                  <c:v>502.06</c:v>
                </c:pt>
                <c:pt idx="1227">
                  <c:v>502.96</c:v>
                </c:pt>
                <c:pt idx="1228">
                  <c:v>504.17</c:v>
                </c:pt>
                <c:pt idx="1229">
                  <c:v>505.17</c:v>
                </c:pt>
                <c:pt idx="1230">
                  <c:v>505.2</c:v>
                </c:pt>
                <c:pt idx="1231">
                  <c:v>503.88</c:v>
                </c:pt>
                <c:pt idx="1232">
                  <c:v>504.19</c:v>
                </c:pt>
                <c:pt idx="1233">
                  <c:v>501.98</c:v>
                </c:pt>
                <c:pt idx="1234">
                  <c:v>502.85</c:v>
                </c:pt>
                <c:pt idx="1235">
                  <c:v>502.2</c:v>
                </c:pt>
                <c:pt idx="1236">
                  <c:v>503.65</c:v>
                </c:pt>
                <c:pt idx="1237">
                  <c:v>505.03</c:v>
                </c:pt>
                <c:pt idx="1238">
                  <c:v>506.02</c:v>
                </c:pt>
                <c:pt idx="1239">
                  <c:v>508.78</c:v>
                </c:pt>
                <c:pt idx="1240">
                  <c:v>512.86</c:v>
                </c:pt>
                <c:pt idx="1241">
                  <c:v>515.28</c:v>
                </c:pt>
                <c:pt idx="1242">
                  <c:v>515.38</c:v>
                </c:pt>
                <c:pt idx="1243">
                  <c:v>519.22</c:v>
                </c:pt>
                <c:pt idx="1244">
                  <c:v>516.45000000000005</c:v>
                </c:pt>
                <c:pt idx="1245">
                  <c:v>521.79</c:v>
                </c:pt>
                <c:pt idx="1246">
                  <c:v>521.99</c:v>
                </c:pt>
                <c:pt idx="1247">
                  <c:v>525.42999999999995</c:v>
                </c:pt>
                <c:pt idx="1248">
                  <c:v>528.14</c:v>
                </c:pt>
                <c:pt idx="1249">
                  <c:v>526.87</c:v>
                </c:pt>
                <c:pt idx="1250">
                  <c:v>530.49</c:v>
                </c:pt>
                <c:pt idx="1251">
                  <c:v>530.33000000000004</c:v>
                </c:pt>
                <c:pt idx="1252">
                  <c:v>528.84</c:v>
                </c:pt>
                <c:pt idx="1253">
                  <c:v>527.94000000000005</c:v>
                </c:pt>
                <c:pt idx="1254">
                  <c:v>528.16999999999996</c:v>
                </c:pt>
                <c:pt idx="1255">
                  <c:v>529.91</c:v>
                </c:pt>
                <c:pt idx="1256">
                  <c:v>530.99</c:v>
                </c:pt>
                <c:pt idx="1257">
                  <c:v>529.59</c:v>
                </c:pt>
                <c:pt idx="1258">
                  <c:v>530.91</c:v>
                </c:pt>
                <c:pt idx="1259">
                  <c:v>535.29999999999995</c:v>
                </c:pt>
                <c:pt idx="1260">
                  <c:v>535.91</c:v>
                </c:pt>
                <c:pt idx="1261">
                  <c:v>536.84</c:v>
                </c:pt>
                <c:pt idx="1262">
                  <c:v>537.32000000000005</c:v>
                </c:pt>
                <c:pt idx="1263">
                  <c:v>538.29</c:v>
                </c:pt>
                <c:pt idx="1264">
                  <c:v>541.72</c:v>
                </c:pt>
                <c:pt idx="1265">
                  <c:v>543.57000000000005</c:v>
                </c:pt>
                <c:pt idx="1266">
                  <c:v>544.89</c:v>
                </c:pt>
                <c:pt idx="1267">
                  <c:v>549.92999999999995</c:v>
                </c:pt>
                <c:pt idx="1268">
                  <c:v>547.29999999999995</c:v>
                </c:pt>
                <c:pt idx="1269">
                  <c:v>546.41</c:v>
                </c:pt>
                <c:pt idx="1270">
                  <c:v>549.92999999999995</c:v>
                </c:pt>
                <c:pt idx="1271">
                  <c:v>553.21</c:v>
                </c:pt>
                <c:pt idx="1272">
                  <c:v>555.03</c:v>
                </c:pt>
                <c:pt idx="1273">
                  <c:v>554.41999999999996</c:v>
                </c:pt>
                <c:pt idx="1274">
                  <c:v>559.24</c:v>
                </c:pt>
                <c:pt idx="1275">
                  <c:v>558.25</c:v>
                </c:pt>
                <c:pt idx="1276">
                  <c:v>559.98</c:v>
                </c:pt>
                <c:pt idx="1277">
                  <c:v>561.83000000000004</c:v>
                </c:pt>
                <c:pt idx="1278">
                  <c:v>558.67999999999995</c:v>
                </c:pt>
                <c:pt idx="1279">
                  <c:v>554.41</c:v>
                </c:pt>
                <c:pt idx="1280">
                  <c:v>556.57000000000005</c:v>
                </c:pt>
                <c:pt idx="1281">
                  <c:v>560.02</c:v>
                </c:pt>
                <c:pt idx="1282">
                  <c:v>563.79999999999995</c:v>
                </c:pt>
                <c:pt idx="1283">
                  <c:v>568.61</c:v>
                </c:pt>
                <c:pt idx="1284">
                  <c:v>569.63</c:v>
                </c:pt>
                <c:pt idx="1285">
                  <c:v>569.34</c:v>
                </c:pt>
                <c:pt idx="1286">
                  <c:v>571.76</c:v>
                </c:pt>
                <c:pt idx="1287">
                  <c:v>575.26</c:v>
                </c:pt>
                <c:pt idx="1288">
                  <c:v>573.16</c:v>
                </c:pt>
                <c:pt idx="1289">
                  <c:v>572.17999999999995</c:v>
                </c:pt>
                <c:pt idx="1290">
                  <c:v>576.16</c:v>
                </c:pt>
                <c:pt idx="1291">
                  <c:v>575.87</c:v>
                </c:pt>
                <c:pt idx="1292">
                  <c:v>575.22</c:v>
                </c:pt>
                <c:pt idx="1293">
                  <c:v>579.49</c:v>
                </c:pt>
                <c:pt idx="1294">
                  <c:v>582.1</c:v>
                </c:pt>
                <c:pt idx="1295">
                  <c:v>581.63</c:v>
                </c:pt>
                <c:pt idx="1296">
                  <c:v>583.96</c:v>
                </c:pt>
                <c:pt idx="1297">
                  <c:v>585.85</c:v>
                </c:pt>
                <c:pt idx="1298">
                  <c:v>583.63</c:v>
                </c:pt>
                <c:pt idx="1299">
                  <c:v>583.41999999999996</c:v>
                </c:pt>
                <c:pt idx="1300">
                  <c:v>585.33000000000004</c:v>
                </c:pt>
                <c:pt idx="1301">
                  <c:v>589.5</c:v>
                </c:pt>
                <c:pt idx="1302">
                  <c:v>589.34</c:v>
                </c:pt>
                <c:pt idx="1303">
                  <c:v>590.73</c:v>
                </c:pt>
                <c:pt idx="1304">
                  <c:v>596.27</c:v>
                </c:pt>
                <c:pt idx="1305">
                  <c:v>597.34</c:v>
                </c:pt>
                <c:pt idx="1306">
                  <c:v>590.65</c:v>
                </c:pt>
                <c:pt idx="1307">
                  <c:v>589.13</c:v>
                </c:pt>
                <c:pt idx="1308">
                  <c:v>593.05999999999995</c:v>
                </c:pt>
                <c:pt idx="1309">
                  <c:v>594.98</c:v>
                </c:pt>
                <c:pt idx="1310">
                  <c:v>595.78</c:v>
                </c:pt>
                <c:pt idx="1311">
                  <c:v>597.94000000000005</c:v>
                </c:pt>
                <c:pt idx="1312">
                  <c:v>594.96</c:v>
                </c:pt>
                <c:pt idx="1313">
                  <c:v>591.54999999999995</c:v>
                </c:pt>
                <c:pt idx="1314">
                  <c:v>589.65</c:v>
                </c:pt>
                <c:pt idx="1315">
                  <c:v>590.65</c:v>
                </c:pt>
                <c:pt idx="1316">
                  <c:v>590.32000000000005</c:v>
                </c:pt>
                <c:pt idx="1317">
                  <c:v>588.54999999999995</c:v>
                </c:pt>
                <c:pt idx="1318">
                  <c:v>591.67999999999995</c:v>
                </c:pt>
                <c:pt idx="1319">
                  <c:v>594.42999999999995</c:v>
                </c:pt>
                <c:pt idx="1320">
                  <c:v>596.34</c:v>
                </c:pt>
                <c:pt idx="1321">
                  <c:v>596.24</c:v>
                </c:pt>
                <c:pt idx="1322">
                  <c:v>593.42999999999995</c:v>
                </c:pt>
                <c:pt idx="1323">
                  <c:v>595.08000000000004</c:v>
                </c:pt>
                <c:pt idx="1324">
                  <c:v>598.13</c:v>
                </c:pt>
                <c:pt idx="1325">
                  <c:v>600.30999999999995</c:v>
                </c:pt>
                <c:pt idx="1326">
                  <c:v>599.47</c:v>
                </c:pt>
                <c:pt idx="1327">
                  <c:v>604.95000000000005</c:v>
                </c:pt>
                <c:pt idx="1328">
                  <c:v>609.99</c:v>
                </c:pt>
                <c:pt idx="1329">
                  <c:v>613.48</c:v>
                </c:pt>
                <c:pt idx="1330">
                  <c:v>615.63</c:v>
                </c:pt>
                <c:pt idx="1331">
                  <c:v>618.07000000000005</c:v>
                </c:pt>
                <c:pt idx="1332">
                  <c:v>621.48</c:v>
                </c:pt>
                <c:pt idx="1333">
                  <c:v>625.94000000000005</c:v>
                </c:pt>
                <c:pt idx="1334">
                  <c:v>614.32000000000005</c:v>
                </c:pt>
                <c:pt idx="1335">
                  <c:v>616.84</c:v>
                </c:pt>
                <c:pt idx="1336">
                  <c:v>620.13</c:v>
                </c:pt>
                <c:pt idx="1337">
                  <c:v>622.55999999999995</c:v>
                </c:pt>
                <c:pt idx="1338">
                  <c:v>621.13</c:v>
                </c:pt>
                <c:pt idx="1339">
                  <c:v>617.32000000000005</c:v>
                </c:pt>
                <c:pt idx="1340">
                  <c:v>613.59</c:v>
                </c:pt>
                <c:pt idx="1341">
                  <c:v>611.55999999999995</c:v>
                </c:pt>
                <c:pt idx="1342">
                  <c:v>610.87</c:v>
                </c:pt>
                <c:pt idx="1343">
                  <c:v>610.25</c:v>
                </c:pt>
                <c:pt idx="1344">
                  <c:v>612.80999999999995</c:v>
                </c:pt>
                <c:pt idx="1345">
                  <c:v>614.23</c:v>
                </c:pt>
                <c:pt idx="1346">
                  <c:v>612.20000000000005</c:v>
                </c:pt>
                <c:pt idx="1347">
                  <c:v>607.88</c:v>
                </c:pt>
                <c:pt idx="1348">
                  <c:v>610.77</c:v>
                </c:pt>
                <c:pt idx="1349">
                  <c:v>613.87</c:v>
                </c:pt>
                <c:pt idx="1350">
                  <c:v>608.89</c:v>
                </c:pt>
                <c:pt idx="1351">
                  <c:v>614.66999999999996</c:v>
                </c:pt>
                <c:pt idx="1352">
                  <c:v>618.39</c:v>
                </c:pt>
                <c:pt idx="1353">
                  <c:v>620.76</c:v>
                </c:pt>
                <c:pt idx="1354">
                  <c:v>620.78</c:v>
                </c:pt>
                <c:pt idx="1355">
                  <c:v>621.26</c:v>
                </c:pt>
                <c:pt idx="1356">
                  <c:v>625.23</c:v>
                </c:pt>
                <c:pt idx="1357">
                  <c:v>621.59</c:v>
                </c:pt>
                <c:pt idx="1358">
                  <c:v>619.71</c:v>
                </c:pt>
                <c:pt idx="1359">
                  <c:v>616.4</c:v>
                </c:pt>
                <c:pt idx="1360">
                  <c:v>604.12</c:v>
                </c:pt>
                <c:pt idx="1361">
                  <c:v>599.78</c:v>
                </c:pt>
                <c:pt idx="1362">
                  <c:v>594.41</c:v>
                </c:pt>
                <c:pt idx="1363">
                  <c:v>601.32000000000005</c:v>
                </c:pt>
                <c:pt idx="1364">
                  <c:v>602.9</c:v>
                </c:pt>
                <c:pt idx="1365">
                  <c:v>600.51</c:v>
                </c:pt>
                <c:pt idx="1366">
                  <c:v>598.64</c:v>
                </c:pt>
                <c:pt idx="1367">
                  <c:v>604.27</c:v>
                </c:pt>
                <c:pt idx="1368">
                  <c:v>609.61</c:v>
                </c:pt>
                <c:pt idx="1369">
                  <c:v>615.57000000000005</c:v>
                </c:pt>
                <c:pt idx="1370">
                  <c:v>616.33000000000004</c:v>
                </c:pt>
                <c:pt idx="1371">
                  <c:v>619.42999999999995</c:v>
                </c:pt>
                <c:pt idx="1372">
                  <c:v>617.55999999999995</c:v>
                </c:pt>
                <c:pt idx="1373">
                  <c:v>617.9</c:v>
                </c:pt>
                <c:pt idx="1374">
                  <c:v>620.14</c:v>
                </c:pt>
                <c:pt idx="1375">
                  <c:v>625.95000000000005</c:v>
                </c:pt>
                <c:pt idx="1376">
                  <c:v>629</c:v>
                </c:pt>
                <c:pt idx="1377">
                  <c:v>629.58000000000004</c:v>
                </c:pt>
                <c:pt idx="1378">
                  <c:v>629.95000000000005</c:v>
                </c:pt>
                <c:pt idx="1379">
                  <c:v>632.21</c:v>
                </c:pt>
                <c:pt idx="1380">
                  <c:v>632.89</c:v>
                </c:pt>
                <c:pt idx="1381">
                  <c:v>634.70000000000005</c:v>
                </c:pt>
                <c:pt idx="1382">
                  <c:v>634.67999999999995</c:v>
                </c:pt>
                <c:pt idx="1383">
                  <c:v>638.03</c:v>
                </c:pt>
                <c:pt idx="1384">
                  <c:v>643.08000000000004</c:v>
                </c:pt>
                <c:pt idx="1385">
                  <c:v>645.78</c:v>
                </c:pt>
                <c:pt idx="1386">
                  <c:v>650.44000000000005</c:v>
                </c:pt>
                <c:pt idx="1387">
                  <c:v>661.99</c:v>
                </c:pt>
                <c:pt idx="1388">
                  <c:v>664.35</c:v>
                </c:pt>
                <c:pt idx="1389">
                  <c:v>666.13</c:v>
                </c:pt>
                <c:pt idx="1390">
                  <c:v>669.15</c:v>
                </c:pt>
                <c:pt idx="1391">
                  <c:v>668.58</c:v>
                </c:pt>
                <c:pt idx="1392">
                  <c:v>671.1</c:v>
                </c:pt>
                <c:pt idx="1393">
                  <c:v>668.45</c:v>
                </c:pt>
                <c:pt idx="1394">
                  <c:v>673.23</c:v>
                </c:pt>
                <c:pt idx="1395">
                  <c:v>679.96</c:v>
                </c:pt>
                <c:pt idx="1396">
                  <c:v>684.23</c:v>
                </c:pt>
                <c:pt idx="1397">
                  <c:v>686.61</c:v>
                </c:pt>
                <c:pt idx="1398">
                  <c:v>687.71</c:v>
                </c:pt>
                <c:pt idx="1399">
                  <c:v>673.7</c:v>
                </c:pt>
                <c:pt idx="1400">
                  <c:v>680.66</c:v>
                </c:pt>
                <c:pt idx="1401">
                  <c:v>684.74</c:v>
                </c:pt>
                <c:pt idx="1402">
                  <c:v>687.42</c:v>
                </c:pt>
                <c:pt idx="1403">
                  <c:v>690.5</c:v>
                </c:pt>
                <c:pt idx="1404">
                  <c:v>694.39</c:v>
                </c:pt>
                <c:pt idx="1405">
                  <c:v>696.06</c:v>
                </c:pt>
                <c:pt idx="1406">
                  <c:v>699.72</c:v>
                </c:pt>
                <c:pt idx="1407">
                  <c:v>699.39</c:v>
                </c:pt>
                <c:pt idx="1408">
                  <c:v>698.97</c:v>
                </c:pt>
                <c:pt idx="1409">
                  <c:v>703.7</c:v>
                </c:pt>
                <c:pt idx="1410">
                  <c:v>705.23</c:v>
                </c:pt>
                <c:pt idx="1411">
                  <c:v>699.18</c:v>
                </c:pt>
                <c:pt idx="1412">
                  <c:v>700.77</c:v>
                </c:pt>
                <c:pt idx="1413">
                  <c:v>700.72</c:v>
                </c:pt>
                <c:pt idx="1414">
                  <c:v>704.28</c:v>
                </c:pt>
                <c:pt idx="1415">
                  <c:v>708.9</c:v>
                </c:pt>
                <c:pt idx="1416">
                  <c:v>714</c:v>
                </c:pt>
                <c:pt idx="1417">
                  <c:v>710.96</c:v>
                </c:pt>
                <c:pt idx="1418">
                  <c:v>702.56</c:v>
                </c:pt>
                <c:pt idx="1419">
                  <c:v>702.49</c:v>
                </c:pt>
                <c:pt idx="1420">
                  <c:v>710.27</c:v>
                </c:pt>
                <c:pt idx="1421">
                  <c:v>697.38</c:v>
                </c:pt>
                <c:pt idx="1422">
                  <c:v>705.7</c:v>
                </c:pt>
                <c:pt idx="1423">
                  <c:v>704.47</c:v>
                </c:pt>
                <c:pt idx="1424">
                  <c:v>714.07</c:v>
                </c:pt>
                <c:pt idx="1425">
                  <c:v>710.84</c:v>
                </c:pt>
                <c:pt idx="1426">
                  <c:v>719.07</c:v>
                </c:pt>
                <c:pt idx="1427">
                  <c:v>717.71</c:v>
                </c:pt>
                <c:pt idx="1428">
                  <c:v>724.08</c:v>
                </c:pt>
                <c:pt idx="1429">
                  <c:v>722.79</c:v>
                </c:pt>
                <c:pt idx="1430">
                  <c:v>730.96</c:v>
                </c:pt>
                <c:pt idx="1431">
                  <c:v>733.56</c:v>
                </c:pt>
                <c:pt idx="1432">
                  <c:v>731.58</c:v>
                </c:pt>
                <c:pt idx="1433">
                  <c:v>731.19</c:v>
                </c:pt>
                <c:pt idx="1434">
                  <c:v>720.08</c:v>
                </c:pt>
                <c:pt idx="1435">
                  <c:v>722.91</c:v>
                </c:pt>
                <c:pt idx="1436">
                  <c:v>728.6</c:v>
                </c:pt>
                <c:pt idx="1437">
                  <c:v>735.59</c:v>
                </c:pt>
                <c:pt idx="1438">
                  <c:v>741.66</c:v>
                </c:pt>
                <c:pt idx="1439">
                  <c:v>747.34</c:v>
                </c:pt>
                <c:pt idx="1440">
                  <c:v>746.43</c:v>
                </c:pt>
                <c:pt idx="1441">
                  <c:v>740.63</c:v>
                </c:pt>
                <c:pt idx="1442">
                  <c:v>746.36</c:v>
                </c:pt>
                <c:pt idx="1443">
                  <c:v>746.82</c:v>
                </c:pt>
                <c:pt idx="1444">
                  <c:v>743.84</c:v>
                </c:pt>
                <c:pt idx="1445">
                  <c:v>745.96</c:v>
                </c:pt>
                <c:pt idx="1446">
                  <c:v>735.85</c:v>
                </c:pt>
                <c:pt idx="1447">
                  <c:v>737.46</c:v>
                </c:pt>
                <c:pt idx="1448">
                  <c:v>744.82</c:v>
                </c:pt>
                <c:pt idx="1449">
                  <c:v>747.09</c:v>
                </c:pt>
                <c:pt idx="1450">
                  <c:v>746.94</c:v>
                </c:pt>
                <c:pt idx="1451">
                  <c:v>745.14</c:v>
                </c:pt>
                <c:pt idx="1452">
                  <c:v>746.8</c:v>
                </c:pt>
                <c:pt idx="1453">
                  <c:v>741.33</c:v>
                </c:pt>
                <c:pt idx="1454">
                  <c:v>737.93</c:v>
                </c:pt>
                <c:pt idx="1455">
                  <c:v>718.67</c:v>
                </c:pt>
                <c:pt idx="1456">
                  <c:v>728.97</c:v>
                </c:pt>
                <c:pt idx="1457">
                  <c:v>727.03</c:v>
                </c:pt>
                <c:pt idx="1458">
                  <c:v>727.29</c:v>
                </c:pt>
                <c:pt idx="1459">
                  <c:v>721.44</c:v>
                </c:pt>
                <c:pt idx="1460">
                  <c:v>722.18</c:v>
                </c:pt>
                <c:pt idx="1461">
                  <c:v>731.91</c:v>
                </c:pt>
                <c:pt idx="1462">
                  <c:v>737.2</c:v>
                </c:pt>
                <c:pt idx="1463">
                  <c:v>737.99</c:v>
                </c:pt>
                <c:pt idx="1464">
                  <c:v>741.08</c:v>
                </c:pt>
                <c:pt idx="1465">
                  <c:v>743.45</c:v>
                </c:pt>
                <c:pt idx="1466">
                  <c:v>743.42</c:v>
                </c:pt>
                <c:pt idx="1467">
                  <c:v>752.11</c:v>
                </c:pt>
                <c:pt idx="1468">
                  <c:v>756.68</c:v>
                </c:pt>
                <c:pt idx="1469">
                  <c:v>759.28</c:v>
                </c:pt>
                <c:pt idx="1470">
                  <c:v>761.05</c:v>
                </c:pt>
                <c:pt idx="1471">
                  <c:v>762.41</c:v>
                </c:pt>
                <c:pt idx="1472">
                  <c:v>765.65</c:v>
                </c:pt>
                <c:pt idx="1473">
                  <c:v>764.83</c:v>
                </c:pt>
                <c:pt idx="1474">
                  <c:v>769.39</c:v>
                </c:pt>
                <c:pt idx="1475">
                  <c:v>764.73</c:v>
                </c:pt>
                <c:pt idx="1476">
                  <c:v>757</c:v>
                </c:pt>
                <c:pt idx="1477">
                  <c:v>755.43</c:v>
                </c:pt>
                <c:pt idx="1478">
                  <c:v>753.3</c:v>
                </c:pt>
                <c:pt idx="1479">
                  <c:v>753.73</c:v>
                </c:pt>
                <c:pt idx="1480">
                  <c:v>759.96</c:v>
                </c:pt>
                <c:pt idx="1481">
                  <c:v>762.33</c:v>
                </c:pt>
                <c:pt idx="1482">
                  <c:v>765.12</c:v>
                </c:pt>
                <c:pt idx="1483">
                  <c:v>769.75</c:v>
                </c:pt>
                <c:pt idx="1484">
                  <c:v>769.68</c:v>
                </c:pt>
                <c:pt idx="1485">
                  <c:v>772.63</c:v>
                </c:pt>
                <c:pt idx="1486">
                  <c:v>772.72</c:v>
                </c:pt>
                <c:pt idx="1487">
                  <c:v>774.96</c:v>
                </c:pt>
                <c:pt idx="1488">
                  <c:v>770.72</c:v>
                </c:pt>
                <c:pt idx="1489">
                  <c:v>769.33</c:v>
                </c:pt>
                <c:pt idx="1490">
                  <c:v>763.29</c:v>
                </c:pt>
                <c:pt idx="1491">
                  <c:v>766.62</c:v>
                </c:pt>
                <c:pt idx="1492">
                  <c:v>755.11</c:v>
                </c:pt>
                <c:pt idx="1493">
                  <c:v>759.32</c:v>
                </c:pt>
                <c:pt idx="1494">
                  <c:v>762.6</c:v>
                </c:pt>
                <c:pt idx="1495">
                  <c:v>767.55</c:v>
                </c:pt>
                <c:pt idx="1496">
                  <c:v>770.25</c:v>
                </c:pt>
                <c:pt idx="1497">
                  <c:v>778.48</c:v>
                </c:pt>
                <c:pt idx="1498">
                  <c:v>783.8</c:v>
                </c:pt>
                <c:pt idx="1499">
                  <c:v>784.95</c:v>
                </c:pt>
                <c:pt idx="1500">
                  <c:v>786.44</c:v>
                </c:pt>
                <c:pt idx="1501">
                  <c:v>791.7</c:v>
                </c:pt>
                <c:pt idx="1502">
                  <c:v>791.79</c:v>
                </c:pt>
                <c:pt idx="1503">
                  <c:v>791.37</c:v>
                </c:pt>
                <c:pt idx="1504">
                  <c:v>788.56</c:v>
                </c:pt>
                <c:pt idx="1505">
                  <c:v>784.16</c:v>
                </c:pt>
                <c:pt idx="1506">
                  <c:v>776.31</c:v>
                </c:pt>
                <c:pt idx="1507">
                  <c:v>775.73</c:v>
                </c:pt>
                <c:pt idx="1508">
                  <c:v>791.91</c:v>
                </c:pt>
                <c:pt idx="1509">
                  <c:v>754.58</c:v>
                </c:pt>
                <c:pt idx="1510">
                  <c:v>779.23</c:v>
                </c:pt>
                <c:pt idx="1511">
                  <c:v>790.14</c:v>
                </c:pt>
                <c:pt idx="1512">
                  <c:v>802.79</c:v>
                </c:pt>
                <c:pt idx="1513">
                  <c:v>806.76</c:v>
                </c:pt>
                <c:pt idx="1514">
                  <c:v>809.99</c:v>
                </c:pt>
                <c:pt idx="1515">
                  <c:v>814.13</c:v>
                </c:pt>
                <c:pt idx="1516">
                  <c:v>816.31</c:v>
                </c:pt>
                <c:pt idx="1517">
                  <c:v>819.59</c:v>
                </c:pt>
                <c:pt idx="1518">
                  <c:v>822.44</c:v>
                </c:pt>
                <c:pt idx="1519">
                  <c:v>819.08</c:v>
                </c:pt>
                <c:pt idx="1520">
                  <c:v>823.21</c:v>
                </c:pt>
                <c:pt idx="1521">
                  <c:v>821.9</c:v>
                </c:pt>
                <c:pt idx="1522">
                  <c:v>823.68</c:v>
                </c:pt>
                <c:pt idx="1523">
                  <c:v>825.82</c:v>
                </c:pt>
                <c:pt idx="1524">
                  <c:v>829.43</c:v>
                </c:pt>
                <c:pt idx="1525">
                  <c:v>830.04</c:v>
                </c:pt>
                <c:pt idx="1526">
                  <c:v>830.92</c:v>
                </c:pt>
                <c:pt idx="1527">
                  <c:v>836.94</c:v>
                </c:pt>
                <c:pt idx="1528">
                  <c:v>836.69</c:v>
                </c:pt>
                <c:pt idx="1529">
                  <c:v>841.33</c:v>
                </c:pt>
                <c:pt idx="1530">
                  <c:v>845.03</c:v>
                </c:pt>
                <c:pt idx="1531">
                  <c:v>849.15</c:v>
                </c:pt>
                <c:pt idx="1532">
                  <c:v>848.35</c:v>
                </c:pt>
                <c:pt idx="1533">
                  <c:v>853.4</c:v>
                </c:pt>
                <c:pt idx="1534">
                  <c:v>852.94</c:v>
                </c:pt>
                <c:pt idx="1535">
                  <c:v>854.41</c:v>
                </c:pt>
                <c:pt idx="1536">
                  <c:v>858.25</c:v>
                </c:pt>
                <c:pt idx="1537">
                  <c:v>861.55</c:v>
                </c:pt>
                <c:pt idx="1538">
                  <c:v>862.58</c:v>
                </c:pt>
                <c:pt idx="1539">
                  <c:v>861.01</c:v>
                </c:pt>
                <c:pt idx="1540">
                  <c:v>849.06</c:v>
                </c:pt>
                <c:pt idx="1541">
                  <c:v>854.21</c:v>
                </c:pt>
                <c:pt idx="1542">
                  <c:v>853.6</c:v>
                </c:pt>
                <c:pt idx="1543">
                  <c:v>859.67</c:v>
                </c:pt>
                <c:pt idx="1544">
                  <c:v>861.48</c:v>
                </c:pt>
                <c:pt idx="1545">
                  <c:v>871.6</c:v>
                </c:pt>
                <c:pt idx="1546">
                  <c:v>875.42</c:v>
                </c:pt>
                <c:pt idx="1547">
                  <c:v>879.95</c:v>
                </c:pt>
                <c:pt idx="1548">
                  <c:v>883.13</c:v>
                </c:pt>
                <c:pt idx="1549">
                  <c:v>881.46</c:v>
                </c:pt>
                <c:pt idx="1550">
                  <c:v>873.81</c:v>
                </c:pt>
                <c:pt idx="1551">
                  <c:v>852.55</c:v>
                </c:pt>
                <c:pt idx="1552">
                  <c:v>850.31</c:v>
                </c:pt>
                <c:pt idx="1553">
                  <c:v>863.16</c:v>
                </c:pt>
                <c:pt idx="1554">
                  <c:v>860.37</c:v>
                </c:pt>
                <c:pt idx="1555">
                  <c:v>866.31</c:v>
                </c:pt>
                <c:pt idx="1556">
                  <c:v>867.74</c:v>
                </c:pt>
                <c:pt idx="1557">
                  <c:v>859.1</c:v>
                </c:pt>
                <c:pt idx="1558">
                  <c:v>857.15</c:v>
                </c:pt>
                <c:pt idx="1559">
                  <c:v>868.22</c:v>
                </c:pt>
                <c:pt idx="1560">
                  <c:v>869.67</c:v>
                </c:pt>
                <c:pt idx="1561">
                  <c:v>875.97</c:v>
                </c:pt>
                <c:pt idx="1562">
                  <c:v>880.77</c:v>
                </c:pt>
                <c:pt idx="1563">
                  <c:v>884.31</c:v>
                </c:pt>
                <c:pt idx="1564">
                  <c:v>883.77</c:v>
                </c:pt>
                <c:pt idx="1565">
                  <c:v>890.69</c:v>
                </c:pt>
                <c:pt idx="1566">
                  <c:v>893.5</c:v>
                </c:pt>
                <c:pt idx="1567">
                  <c:v>893.61</c:v>
                </c:pt>
                <c:pt idx="1568">
                  <c:v>893.25</c:v>
                </c:pt>
                <c:pt idx="1569">
                  <c:v>898.34</c:v>
                </c:pt>
                <c:pt idx="1570">
                  <c:v>900.17</c:v>
                </c:pt>
                <c:pt idx="1571">
                  <c:v>903.8</c:v>
                </c:pt>
                <c:pt idx="1572">
                  <c:v>903.96</c:v>
                </c:pt>
                <c:pt idx="1573">
                  <c:v>906.5</c:v>
                </c:pt>
                <c:pt idx="1574">
                  <c:v>898.48</c:v>
                </c:pt>
                <c:pt idx="1575">
                  <c:v>897.91</c:v>
                </c:pt>
                <c:pt idx="1576">
                  <c:v>903.37</c:v>
                </c:pt>
                <c:pt idx="1577">
                  <c:v>898.23</c:v>
                </c:pt>
                <c:pt idx="1578">
                  <c:v>908.17</c:v>
                </c:pt>
                <c:pt idx="1579">
                  <c:v>910.91</c:v>
                </c:pt>
                <c:pt idx="1580">
                  <c:v>911.91</c:v>
                </c:pt>
                <c:pt idx="1581">
                  <c:v>910.91</c:v>
                </c:pt>
                <c:pt idx="1582">
                  <c:v>907.32</c:v>
                </c:pt>
                <c:pt idx="1583">
                  <c:v>906.31</c:v>
                </c:pt>
                <c:pt idx="1584">
                  <c:v>914.32</c:v>
                </c:pt>
                <c:pt idx="1585">
                  <c:v>919.42</c:v>
                </c:pt>
                <c:pt idx="1586">
                  <c:v>919.94</c:v>
                </c:pt>
                <c:pt idx="1587">
                  <c:v>920.87</c:v>
                </c:pt>
                <c:pt idx="1588">
                  <c:v>923.46</c:v>
                </c:pt>
                <c:pt idx="1589">
                  <c:v>924.37</c:v>
                </c:pt>
                <c:pt idx="1590">
                  <c:v>917.62</c:v>
                </c:pt>
                <c:pt idx="1591">
                  <c:v>919.05</c:v>
                </c:pt>
                <c:pt idx="1592">
                  <c:v>901.79</c:v>
                </c:pt>
                <c:pt idx="1593">
                  <c:v>894.7</c:v>
                </c:pt>
                <c:pt idx="1594">
                  <c:v>879.88</c:v>
                </c:pt>
                <c:pt idx="1595">
                  <c:v>888.78</c:v>
                </c:pt>
                <c:pt idx="1596">
                  <c:v>892.74</c:v>
                </c:pt>
                <c:pt idx="1597">
                  <c:v>892.46</c:v>
                </c:pt>
                <c:pt idx="1598">
                  <c:v>892.11</c:v>
                </c:pt>
                <c:pt idx="1599">
                  <c:v>894.95</c:v>
                </c:pt>
                <c:pt idx="1600">
                  <c:v>896.36</c:v>
                </c:pt>
                <c:pt idx="1601">
                  <c:v>896.84</c:v>
                </c:pt>
                <c:pt idx="1602">
                  <c:v>887.63</c:v>
                </c:pt>
                <c:pt idx="1603">
                  <c:v>891.81</c:v>
                </c:pt>
                <c:pt idx="1604">
                  <c:v>884.98</c:v>
                </c:pt>
                <c:pt idx="1605">
                  <c:v>870.39</c:v>
                </c:pt>
                <c:pt idx="1606">
                  <c:v>871.18</c:v>
                </c:pt>
                <c:pt idx="1607">
                  <c:v>870.15</c:v>
                </c:pt>
                <c:pt idx="1608">
                  <c:v>860.85</c:v>
                </c:pt>
                <c:pt idx="1609">
                  <c:v>866.69</c:v>
                </c:pt>
                <c:pt idx="1610">
                  <c:v>872.8</c:v>
                </c:pt>
                <c:pt idx="1611">
                  <c:v>873.71</c:v>
                </c:pt>
                <c:pt idx="1612">
                  <c:v>873.12</c:v>
                </c:pt>
                <c:pt idx="1613">
                  <c:v>866.02</c:v>
                </c:pt>
                <c:pt idx="1614">
                  <c:v>871.57</c:v>
                </c:pt>
                <c:pt idx="1615">
                  <c:v>881.76</c:v>
                </c:pt>
                <c:pt idx="1616">
                  <c:v>876.7</c:v>
                </c:pt>
                <c:pt idx="1617">
                  <c:v>868.87</c:v>
                </c:pt>
                <c:pt idx="1618">
                  <c:v>864.82</c:v>
                </c:pt>
                <c:pt idx="1619">
                  <c:v>855.93</c:v>
                </c:pt>
                <c:pt idx="1620">
                  <c:v>841.37</c:v>
                </c:pt>
                <c:pt idx="1621">
                  <c:v>842.48</c:v>
                </c:pt>
                <c:pt idx="1622">
                  <c:v>838.42</c:v>
                </c:pt>
                <c:pt idx="1623">
                  <c:v>840.76</c:v>
                </c:pt>
                <c:pt idx="1624">
                  <c:v>834.95</c:v>
                </c:pt>
                <c:pt idx="1625">
                  <c:v>846.68</c:v>
                </c:pt>
                <c:pt idx="1626">
                  <c:v>858.74</c:v>
                </c:pt>
                <c:pt idx="1627">
                  <c:v>859.41</c:v>
                </c:pt>
                <c:pt idx="1628">
                  <c:v>863.56</c:v>
                </c:pt>
                <c:pt idx="1629">
                  <c:v>858.69</c:v>
                </c:pt>
                <c:pt idx="1630">
                  <c:v>866.12</c:v>
                </c:pt>
                <c:pt idx="1631">
                  <c:v>870.86</c:v>
                </c:pt>
                <c:pt idx="1632">
                  <c:v>879.3</c:v>
                </c:pt>
                <c:pt idx="1633">
                  <c:v>882.33</c:v>
                </c:pt>
                <c:pt idx="1634">
                  <c:v>884.02</c:v>
                </c:pt>
                <c:pt idx="1635">
                  <c:v>883.74</c:v>
                </c:pt>
                <c:pt idx="1636">
                  <c:v>881.76</c:v>
                </c:pt>
                <c:pt idx="1637">
                  <c:v>885.44</c:v>
                </c:pt>
                <c:pt idx="1638">
                  <c:v>886.83</c:v>
                </c:pt>
                <c:pt idx="1639">
                  <c:v>879.72</c:v>
                </c:pt>
                <c:pt idx="1640">
                  <c:v>881.78</c:v>
                </c:pt>
                <c:pt idx="1641">
                  <c:v>883.29</c:v>
                </c:pt>
                <c:pt idx="1642">
                  <c:v>874.07</c:v>
                </c:pt>
                <c:pt idx="1643">
                  <c:v>868.27</c:v>
                </c:pt>
                <c:pt idx="1644">
                  <c:v>862.11</c:v>
                </c:pt>
                <c:pt idx="1645">
                  <c:v>847.24</c:v>
                </c:pt>
                <c:pt idx="1646">
                  <c:v>848.85</c:v>
                </c:pt>
                <c:pt idx="1647">
                  <c:v>850.58</c:v>
                </c:pt>
                <c:pt idx="1648">
                  <c:v>849.61</c:v>
                </c:pt>
                <c:pt idx="1649">
                  <c:v>850.36</c:v>
                </c:pt>
                <c:pt idx="1650">
                  <c:v>845.65</c:v>
                </c:pt>
                <c:pt idx="1651">
                  <c:v>847.05</c:v>
                </c:pt>
                <c:pt idx="1652">
                  <c:v>850.85</c:v>
                </c:pt>
                <c:pt idx="1653">
                  <c:v>860.45</c:v>
                </c:pt>
                <c:pt idx="1654">
                  <c:v>858.73</c:v>
                </c:pt>
                <c:pt idx="1655">
                  <c:v>842.95</c:v>
                </c:pt>
                <c:pt idx="1656">
                  <c:v>849.34</c:v>
                </c:pt>
                <c:pt idx="1657">
                  <c:v>845.74</c:v>
                </c:pt>
                <c:pt idx="1658">
                  <c:v>842.72</c:v>
                </c:pt>
                <c:pt idx="1659">
                  <c:v>832.55</c:v>
                </c:pt>
                <c:pt idx="1660">
                  <c:v>812.06</c:v>
                </c:pt>
                <c:pt idx="1661">
                  <c:v>821.04</c:v>
                </c:pt>
                <c:pt idx="1662">
                  <c:v>822.36</c:v>
                </c:pt>
                <c:pt idx="1663">
                  <c:v>829.97</c:v>
                </c:pt>
                <c:pt idx="1664">
                  <c:v>828.73</c:v>
                </c:pt>
                <c:pt idx="1665">
                  <c:v>831.38</c:v>
                </c:pt>
                <c:pt idx="1666">
                  <c:v>821.88</c:v>
                </c:pt>
                <c:pt idx="1667">
                  <c:v>819.67</c:v>
                </c:pt>
                <c:pt idx="1668">
                  <c:v>824.57</c:v>
                </c:pt>
                <c:pt idx="1669">
                  <c:v>815.26</c:v>
                </c:pt>
                <c:pt idx="1670">
                  <c:v>805.37</c:v>
                </c:pt>
                <c:pt idx="1671">
                  <c:v>806.23</c:v>
                </c:pt>
                <c:pt idx="1672">
                  <c:v>816.31</c:v>
                </c:pt>
                <c:pt idx="1673">
                  <c:v>819.26</c:v>
                </c:pt>
                <c:pt idx="1674">
                  <c:v>828.52</c:v>
                </c:pt>
                <c:pt idx="1675">
                  <c:v>822.15</c:v>
                </c:pt>
                <c:pt idx="1676">
                  <c:v>832.77</c:v>
                </c:pt>
                <c:pt idx="1677">
                  <c:v>835.83</c:v>
                </c:pt>
                <c:pt idx="1678">
                  <c:v>833.9</c:v>
                </c:pt>
                <c:pt idx="1679">
                  <c:v>832.25</c:v>
                </c:pt>
                <c:pt idx="1680">
                  <c:v>821.78</c:v>
                </c:pt>
                <c:pt idx="1681">
                  <c:v>807.53</c:v>
                </c:pt>
                <c:pt idx="1682">
                  <c:v>806.08</c:v>
                </c:pt>
                <c:pt idx="1683">
                  <c:v>805.45</c:v>
                </c:pt>
                <c:pt idx="1684">
                  <c:v>795.43</c:v>
                </c:pt>
                <c:pt idx="1685">
                  <c:v>796.44</c:v>
                </c:pt>
                <c:pt idx="1686">
                  <c:v>793.93</c:v>
                </c:pt>
                <c:pt idx="1687">
                  <c:v>797.96</c:v>
                </c:pt>
                <c:pt idx="1688">
                  <c:v>800.11</c:v>
                </c:pt>
                <c:pt idx="1689">
                  <c:v>796.2</c:v>
                </c:pt>
                <c:pt idx="1690">
                  <c:v>788.06</c:v>
                </c:pt>
                <c:pt idx="1691">
                  <c:v>784.53</c:v>
                </c:pt>
                <c:pt idx="1692">
                  <c:v>778.92</c:v>
                </c:pt>
                <c:pt idx="1693">
                  <c:v>764.93</c:v>
                </c:pt>
                <c:pt idx="1694">
                  <c:v>764.99</c:v>
                </c:pt>
                <c:pt idx="1695">
                  <c:v>764.94</c:v>
                </c:pt>
                <c:pt idx="1696">
                  <c:v>779.07</c:v>
                </c:pt>
                <c:pt idx="1697">
                  <c:v>787.86</c:v>
                </c:pt>
                <c:pt idx="1698">
                  <c:v>788.05</c:v>
                </c:pt>
                <c:pt idx="1699">
                  <c:v>781.64</c:v>
                </c:pt>
                <c:pt idx="1700">
                  <c:v>782.08</c:v>
                </c:pt>
                <c:pt idx="1701">
                  <c:v>778.25</c:v>
                </c:pt>
                <c:pt idx="1702">
                  <c:v>774.59</c:v>
                </c:pt>
                <c:pt idx="1703">
                  <c:v>779.15</c:v>
                </c:pt>
                <c:pt idx="1704">
                  <c:v>791.21</c:v>
                </c:pt>
                <c:pt idx="1705">
                  <c:v>799.26</c:v>
                </c:pt>
                <c:pt idx="1706">
                  <c:v>806.44</c:v>
                </c:pt>
                <c:pt idx="1707">
                  <c:v>816.1</c:v>
                </c:pt>
                <c:pt idx="1708">
                  <c:v>824.54</c:v>
                </c:pt>
                <c:pt idx="1709">
                  <c:v>820.71</c:v>
                </c:pt>
                <c:pt idx="1710">
                  <c:v>813.72</c:v>
                </c:pt>
                <c:pt idx="1711">
                  <c:v>817.84</c:v>
                </c:pt>
                <c:pt idx="1712">
                  <c:v>817.18</c:v>
                </c:pt>
                <c:pt idx="1713">
                  <c:v>817.15</c:v>
                </c:pt>
                <c:pt idx="1714">
                  <c:v>811.98</c:v>
                </c:pt>
                <c:pt idx="1715">
                  <c:v>818.2</c:v>
                </c:pt>
                <c:pt idx="1716">
                  <c:v>819.28</c:v>
                </c:pt>
                <c:pt idx="1717">
                  <c:v>802.22</c:v>
                </c:pt>
                <c:pt idx="1718">
                  <c:v>779.34</c:v>
                </c:pt>
                <c:pt idx="1719">
                  <c:v>791.99</c:v>
                </c:pt>
                <c:pt idx="1720">
                  <c:v>787.97</c:v>
                </c:pt>
                <c:pt idx="1721">
                  <c:v>801.25</c:v>
                </c:pt>
                <c:pt idx="1722">
                  <c:v>819.42</c:v>
                </c:pt>
                <c:pt idx="1723">
                  <c:v>824.66</c:v>
                </c:pt>
                <c:pt idx="1724">
                  <c:v>833.37</c:v>
                </c:pt>
                <c:pt idx="1725">
                  <c:v>842.79</c:v>
                </c:pt>
                <c:pt idx="1726">
                  <c:v>844.42</c:v>
                </c:pt>
                <c:pt idx="1727">
                  <c:v>850.5</c:v>
                </c:pt>
                <c:pt idx="1728">
                  <c:v>848.35</c:v>
                </c:pt>
                <c:pt idx="1729">
                  <c:v>836.96</c:v>
                </c:pt>
                <c:pt idx="1730">
                  <c:v>845.37</c:v>
                </c:pt>
                <c:pt idx="1731">
                  <c:v>845.93</c:v>
                </c:pt>
                <c:pt idx="1732">
                  <c:v>843.69</c:v>
                </c:pt>
                <c:pt idx="1733">
                  <c:v>843.44</c:v>
                </c:pt>
                <c:pt idx="1734">
                  <c:v>847.13</c:v>
                </c:pt>
                <c:pt idx="1735">
                  <c:v>837.28</c:v>
                </c:pt>
                <c:pt idx="1736">
                  <c:v>841.01</c:v>
                </c:pt>
                <c:pt idx="1737">
                  <c:v>833.45</c:v>
                </c:pt>
                <c:pt idx="1738">
                  <c:v>829.1</c:v>
                </c:pt>
                <c:pt idx="1739">
                  <c:v>854.47</c:v>
                </c:pt>
                <c:pt idx="1740">
                  <c:v>851.74</c:v>
                </c:pt>
                <c:pt idx="1741">
                  <c:v>858.52</c:v>
                </c:pt>
                <c:pt idx="1742">
                  <c:v>867.54</c:v>
                </c:pt>
                <c:pt idx="1743">
                  <c:v>871.43</c:v>
                </c:pt>
                <c:pt idx="1744">
                  <c:v>871.66</c:v>
                </c:pt>
                <c:pt idx="1745">
                  <c:v>863.94</c:v>
                </c:pt>
                <c:pt idx="1746">
                  <c:v>869.16</c:v>
                </c:pt>
                <c:pt idx="1747">
                  <c:v>866.29</c:v>
                </c:pt>
                <c:pt idx="1748">
                  <c:v>872.21</c:v>
                </c:pt>
                <c:pt idx="1749">
                  <c:v>874.65</c:v>
                </c:pt>
                <c:pt idx="1750">
                  <c:v>873.2</c:v>
                </c:pt>
                <c:pt idx="1751">
                  <c:v>874.57</c:v>
                </c:pt>
                <c:pt idx="1752">
                  <c:v>877.49</c:v>
                </c:pt>
                <c:pt idx="1753">
                  <c:v>875.15</c:v>
                </c:pt>
                <c:pt idx="1754">
                  <c:v>875.14</c:v>
                </c:pt>
                <c:pt idx="1755">
                  <c:v>872.26</c:v>
                </c:pt>
                <c:pt idx="1756">
                  <c:v>874.61</c:v>
                </c:pt>
                <c:pt idx="1757">
                  <c:v>877.11</c:v>
                </c:pt>
                <c:pt idx="1758">
                  <c:v>883.29</c:v>
                </c:pt>
                <c:pt idx="1759">
                  <c:v>890.21</c:v>
                </c:pt>
                <c:pt idx="1760">
                  <c:v>890.83</c:v>
                </c:pt>
                <c:pt idx="1761">
                  <c:v>892.63</c:v>
                </c:pt>
                <c:pt idx="1762">
                  <c:v>883.49</c:v>
                </c:pt>
                <c:pt idx="1763">
                  <c:v>879.42</c:v>
                </c:pt>
                <c:pt idx="1764">
                  <c:v>885.32</c:v>
                </c:pt>
                <c:pt idx="1765">
                  <c:v>881.4</c:v>
                </c:pt>
                <c:pt idx="1766">
                  <c:v>878.11</c:v>
                </c:pt>
                <c:pt idx="1767">
                  <c:v>870.7</c:v>
                </c:pt>
                <c:pt idx="1768">
                  <c:v>876.71</c:v>
                </c:pt>
                <c:pt idx="1769">
                  <c:v>876.22</c:v>
                </c:pt>
                <c:pt idx="1770">
                  <c:v>878.54</c:v>
                </c:pt>
                <c:pt idx="1771">
                  <c:v>887.05</c:v>
                </c:pt>
                <c:pt idx="1772">
                  <c:v>891.47</c:v>
                </c:pt>
                <c:pt idx="1773">
                  <c:v>894.61</c:v>
                </c:pt>
                <c:pt idx="1774">
                  <c:v>893.97</c:v>
                </c:pt>
                <c:pt idx="1775">
                  <c:v>894.14</c:v>
                </c:pt>
                <c:pt idx="1776">
                  <c:v>893.98</c:v>
                </c:pt>
                <c:pt idx="1777">
                  <c:v>895.71</c:v>
                </c:pt>
                <c:pt idx="1778">
                  <c:v>897.88</c:v>
                </c:pt>
                <c:pt idx="1779">
                  <c:v>897.18</c:v>
                </c:pt>
                <c:pt idx="1780">
                  <c:v>898.06</c:v>
                </c:pt>
                <c:pt idx="1781">
                  <c:v>897.9</c:v>
                </c:pt>
                <c:pt idx="1782">
                  <c:v>895.83</c:v>
                </c:pt>
                <c:pt idx="1783">
                  <c:v>892.65</c:v>
                </c:pt>
                <c:pt idx="1784">
                  <c:v>894.35</c:v>
                </c:pt>
                <c:pt idx="1785">
                  <c:v>899.9</c:v>
                </c:pt>
                <c:pt idx="1786">
                  <c:v>900.87</c:v>
                </c:pt>
                <c:pt idx="1787">
                  <c:v>901.68</c:v>
                </c:pt>
                <c:pt idx="1788">
                  <c:v>896.8</c:v>
                </c:pt>
                <c:pt idx="1789">
                  <c:v>898.34</c:v>
                </c:pt>
                <c:pt idx="1790">
                  <c:v>896.42</c:v>
                </c:pt>
                <c:pt idx="1791">
                  <c:v>899.27</c:v>
                </c:pt>
                <c:pt idx="1792">
                  <c:v>893.83</c:v>
                </c:pt>
                <c:pt idx="1793">
                  <c:v>886.37</c:v>
                </c:pt>
                <c:pt idx="1794">
                  <c:v>882.46</c:v>
                </c:pt>
                <c:pt idx="1795">
                  <c:v>888.56</c:v>
                </c:pt>
                <c:pt idx="1796">
                  <c:v>891.8</c:v>
                </c:pt>
                <c:pt idx="1797">
                  <c:v>885.94</c:v>
                </c:pt>
                <c:pt idx="1798">
                  <c:v>875.92</c:v>
                </c:pt>
                <c:pt idx="1799">
                  <c:v>879.83</c:v>
                </c:pt>
                <c:pt idx="1800">
                  <c:v>877.23</c:v>
                </c:pt>
                <c:pt idx="1801">
                  <c:v>872.05</c:v>
                </c:pt>
                <c:pt idx="1802">
                  <c:v>873.12</c:v>
                </c:pt>
                <c:pt idx="1803">
                  <c:v>866.58</c:v>
                </c:pt>
                <c:pt idx="1804">
                  <c:v>870.72</c:v>
                </c:pt>
                <c:pt idx="1805">
                  <c:v>871.41</c:v>
                </c:pt>
                <c:pt idx="1806">
                  <c:v>874.71</c:v>
                </c:pt>
                <c:pt idx="1807">
                  <c:v>873.32</c:v>
                </c:pt>
                <c:pt idx="1808">
                  <c:v>882.88</c:v>
                </c:pt>
                <c:pt idx="1809">
                  <c:v>888.67</c:v>
                </c:pt>
                <c:pt idx="1810">
                  <c:v>891.16</c:v>
                </c:pt>
                <c:pt idx="1811">
                  <c:v>891.47</c:v>
                </c:pt>
                <c:pt idx="1812">
                  <c:v>887.27</c:v>
                </c:pt>
                <c:pt idx="1813">
                  <c:v>889.09</c:v>
                </c:pt>
                <c:pt idx="1814">
                  <c:v>876.61</c:v>
                </c:pt>
                <c:pt idx="1815">
                  <c:v>868.34</c:v>
                </c:pt>
                <c:pt idx="1816">
                  <c:v>865.24</c:v>
                </c:pt>
                <c:pt idx="1817">
                  <c:v>873.29</c:v>
                </c:pt>
                <c:pt idx="1818">
                  <c:v>874.81</c:v>
                </c:pt>
                <c:pt idx="1819">
                  <c:v>879.53</c:v>
                </c:pt>
                <c:pt idx="1820">
                  <c:v>876.9</c:v>
                </c:pt>
                <c:pt idx="1821">
                  <c:v>875.31</c:v>
                </c:pt>
                <c:pt idx="1822">
                  <c:v>876.72</c:v>
                </c:pt>
                <c:pt idx="1823">
                  <c:v>879.54</c:v>
                </c:pt>
                <c:pt idx="1824">
                  <c:v>883.87</c:v>
                </c:pt>
                <c:pt idx="1825">
                  <c:v>885.23</c:v>
                </c:pt>
                <c:pt idx="1826">
                  <c:v>888.48</c:v>
                </c:pt>
                <c:pt idx="1827">
                  <c:v>891.7</c:v>
                </c:pt>
                <c:pt idx="1828">
                  <c:v>897.12</c:v>
                </c:pt>
                <c:pt idx="1829">
                  <c:v>899.35</c:v>
                </c:pt>
                <c:pt idx="1830">
                  <c:v>901.23</c:v>
                </c:pt>
                <c:pt idx="1831">
                  <c:v>899.49</c:v>
                </c:pt>
                <c:pt idx="1832">
                  <c:v>895.36</c:v>
                </c:pt>
                <c:pt idx="1833">
                  <c:v>891.61</c:v>
                </c:pt>
                <c:pt idx="1834">
                  <c:v>885.02</c:v>
                </c:pt>
                <c:pt idx="1835">
                  <c:v>882</c:v>
                </c:pt>
                <c:pt idx="1836">
                  <c:v>867.34</c:v>
                </c:pt>
                <c:pt idx="1837">
                  <c:v>868</c:v>
                </c:pt>
                <c:pt idx="1838">
                  <c:v>868.2</c:v>
                </c:pt>
                <c:pt idx="1839">
                  <c:v>874.98</c:v>
                </c:pt>
                <c:pt idx="1840">
                  <c:v>879.99</c:v>
                </c:pt>
                <c:pt idx="1841">
                  <c:v>884.43</c:v>
                </c:pt>
                <c:pt idx="1842">
                  <c:v>886.07</c:v>
                </c:pt>
                <c:pt idx="1843">
                  <c:v>881.13</c:v>
                </c:pt>
                <c:pt idx="1844">
                  <c:v>885.89</c:v>
                </c:pt>
                <c:pt idx="1845">
                  <c:v>889.24</c:v>
                </c:pt>
                <c:pt idx="1846">
                  <c:v>886.88</c:v>
                </c:pt>
                <c:pt idx="1847">
                  <c:v>882.52</c:v>
                </c:pt>
                <c:pt idx="1848">
                  <c:v>889.05</c:v>
                </c:pt>
                <c:pt idx="1849">
                  <c:v>897.43</c:v>
                </c:pt>
                <c:pt idx="1850">
                  <c:v>896.42</c:v>
                </c:pt>
                <c:pt idx="1851">
                  <c:v>898.05</c:v>
                </c:pt>
                <c:pt idx="1852">
                  <c:v>899.51</c:v>
                </c:pt>
                <c:pt idx="1853">
                  <c:v>897.9</c:v>
                </c:pt>
                <c:pt idx="1854">
                  <c:v>904.86</c:v>
                </c:pt>
                <c:pt idx="1855">
                  <c:v>904.72</c:v>
                </c:pt>
                <c:pt idx="1856">
                  <c:v>909.99</c:v>
                </c:pt>
                <c:pt idx="1857">
                  <c:v>906.73</c:v>
                </c:pt>
                <c:pt idx="1858">
                  <c:v>899.87</c:v>
                </c:pt>
                <c:pt idx="1859">
                  <c:v>906.61</c:v>
                </c:pt>
                <c:pt idx="1860">
                  <c:v>902.95</c:v>
                </c:pt>
                <c:pt idx="1861">
                  <c:v>894.24</c:v>
                </c:pt>
                <c:pt idx="1862">
                  <c:v>895.16</c:v>
                </c:pt>
                <c:pt idx="1863">
                  <c:v>896.44</c:v>
                </c:pt>
                <c:pt idx="1864">
                  <c:v>900.43</c:v>
                </c:pt>
                <c:pt idx="1865">
                  <c:v>905.62</c:v>
                </c:pt>
                <c:pt idx="1866">
                  <c:v>905.7</c:v>
                </c:pt>
                <c:pt idx="1867">
                  <c:v>904.78</c:v>
                </c:pt>
                <c:pt idx="1868">
                  <c:v>909.62</c:v>
                </c:pt>
                <c:pt idx="1869">
                  <c:v>904.61</c:v>
                </c:pt>
                <c:pt idx="1870">
                  <c:v>905.32</c:v>
                </c:pt>
                <c:pt idx="1871">
                  <c:v>905.38</c:v>
                </c:pt>
                <c:pt idx="1872">
                  <c:v>895.69</c:v>
                </c:pt>
                <c:pt idx="1873">
                  <c:v>889.54</c:v>
                </c:pt>
                <c:pt idx="1874">
                  <c:v>891.21</c:v>
                </c:pt>
                <c:pt idx="1875">
                  <c:v>900.73</c:v>
                </c:pt>
                <c:pt idx="1876">
                  <c:v>899.62</c:v>
                </c:pt>
                <c:pt idx="1877">
                  <c:v>898.96</c:v>
                </c:pt>
                <c:pt idx="1878">
                  <c:v>897.22</c:v>
                </c:pt>
                <c:pt idx="1879">
                  <c:v>894.7</c:v>
                </c:pt>
                <c:pt idx="1880">
                  <c:v>888.13</c:v>
                </c:pt>
                <c:pt idx="1881">
                  <c:v>888.55</c:v>
                </c:pt>
                <c:pt idx="1882">
                  <c:v>888.67</c:v>
                </c:pt>
                <c:pt idx="1883">
                  <c:v>875.06</c:v>
                </c:pt>
                <c:pt idx="1884">
                  <c:v>878.24</c:v>
                </c:pt>
                <c:pt idx="1885">
                  <c:v>873.88</c:v>
                </c:pt>
                <c:pt idx="1886">
                  <c:v>879.91</c:v>
                </c:pt>
                <c:pt idx="1887">
                  <c:v>888.65</c:v>
                </c:pt>
                <c:pt idx="1888">
                  <c:v>889.69</c:v>
                </c:pt>
                <c:pt idx="1889">
                  <c:v>884.18</c:v>
                </c:pt>
                <c:pt idx="1890">
                  <c:v>880.05</c:v>
                </c:pt>
                <c:pt idx="1891">
                  <c:v>880.33</c:v>
                </c:pt>
                <c:pt idx="1892">
                  <c:v>890.06</c:v>
                </c:pt>
                <c:pt idx="1893">
                  <c:v>898.06</c:v>
                </c:pt>
                <c:pt idx="1894">
                  <c:v>899.54</c:v>
                </c:pt>
                <c:pt idx="1895">
                  <c:v>898.59</c:v>
                </c:pt>
                <c:pt idx="1896">
                  <c:v>896.38</c:v>
                </c:pt>
                <c:pt idx="1897">
                  <c:v>893.47</c:v>
                </c:pt>
                <c:pt idx="1898">
                  <c:v>892.66</c:v>
                </c:pt>
                <c:pt idx="1899">
                  <c:v>902.63</c:v>
                </c:pt>
                <c:pt idx="1900">
                  <c:v>905.66</c:v>
                </c:pt>
                <c:pt idx="1901">
                  <c:v>910.79</c:v>
                </c:pt>
                <c:pt idx="1902">
                  <c:v>913.37</c:v>
                </c:pt>
                <c:pt idx="1903">
                  <c:v>911.34</c:v>
                </c:pt>
                <c:pt idx="1904">
                  <c:v>910.77</c:v>
                </c:pt>
                <c:pt idx="1905">
                  <c:v>895.44</c:v>
                </c:pt>
                <c:pt idx="1906">
                  <c:v>885.52</c:v>
                </c:pt>
                <c:pt idx="1907">
                  <c:v>885.05</c:v>
                </c:pt>
                <c:pt idx="1908">
                  <c:v>884.98</c:v>
                </c:pt>
                <c:pt idx="1909">
                  <c:v>889.77</c:v>
                </c:pt>
                <c:pt idx="1910">
                  <c:v>887.65</c:v>
                </c:pt>
                <c:pt idx="1911">
                  <c:v>882.57</c:v>
                </c:pt>
                <c:pt idx="1912">
                  <c:v>861</c:v>
                </c:pt>
                <c:pt idx="1913">
                  <c:v>856.74</c:v>
                </c:pt>
                <c:pt idx="1914">
                  <c:v>866.45</c:v>
                </c:pt>
                <c:pt idx="1915">
                  <c:v>854.45</c:v>
                </c:pt>
                <c:pt idx="1916">
                  <c:v>859.04</c:v>
                </c:pt>
                <c:pt idx="1917">
                  <c:v>874.87</c:v>
                </c:pt>
                <c:pt idx="1918">
                  <c:v>879.5</c:v>
                </c:pt>
                <c:pt idx="1919">
                  <c:v>876.82</c:v>
                </c:pt>
                <c:pt idx="1920">
                  <c:v>866.86</c:v>
                </c:pt>
                <c:pt idx="1921">
                  <c:v>896.34</c:v>
                </c:pt>
                <c:pt idx="1922">
                  <c:v>902.5</c:v>
                </c:pt>
                <c:pt idx="1923">
                  <c:v>896.46</c:v>
                </c:pt>
                <c:pt idx="1924">
                  <c:v>896.54</c:v>
                </c:pt>
                <c:pt idx="1925">
                  <c:v>911.28</c:v>
                </c:pt>
                <c:pt idx="1926">
                  <c:v>916.45</c:v>
                </c:pt>
                <c:pt idx="1927">
                  <c:v>917.05</c:v>
                </c:pt>
                <c:pt idx="1928">
                  <c:v>914.57</c:v>
                </c:pt>
                <c:pt idx="1929">
                  <c:v>902.83</c:v>
                </c:pt>
                <c:pt idx="1930">
                  <c:v>902.3</c:v>
                </c:pt>
                <c:pt idx="1931">
                  <c:v>903.71</c:v>
                </c:pt>
                <c:pt idx="1932">
                  <c:v>909.4</c:v>
                </c:pt>
                <c:pt idx="1933">
                  <c:v>897.14</c:v>
                </c:pt>
                <c:pt idx="1934">
                  <c:v>902.87</c:v>
                </c:pt>
                <c:pt idx="1935">
                  <c:v>903.11</c:v>
                </c:pt>
                <c:pt idx="1936">
                  <c:v>898.89</c:v>
                </c:pt>
                <c:pt idx="1937">
                  <c:v>907.27</c:v>
                </c:pt>
                <c:pt idx="1938">
                  <c:v>910.35</c:v>
                </c:pt>
                <c:pt idx="1939">
                  <c:v>898.92</c:v>
                </c:pt>
                <c:pt idx="1940">
                  <c:v>885.37</c:v>
                </c:pt>
                <c:pt idx="1941">
                  <c:v>864.99</c:v>
                </c:pt>
                <c:pt idx="1942">
                  <c:v>877.83</c:v>
                </c:pt>
                <c:pt idx="1943">
                  <c:v>872.98</c:v>
                </c:pt>
                <c:pt idx="1944">
                  <c:v>853.98</c:v>
                </c:pt>
                <c:pt idx="1945">
                  <c:v>869.27</c:v>
                </c:pt>
                <c:pt idx="1946">
                  <c:v>860.62</c:v>
                </c:pt>
                <c:pt idx="1947">
                  <c:v>857.91</c:v>
                </c:pt>
                <c:pt idx="1948">
                  <c:v>832.88</c:v>
                </c:pt>
                <c:pt idx="1949">
                  <c:v>831.76</c:v>
                </c:pt>
                <c:pt idx="1950">
                  <c:v>842.94</c:v>
                </c:pt>
                <c:pt idx="1951">
                  <c:v>855.58</c:v>
                </c:pt>
                <c:pt idx="1952">
                  <c:v>829.5</c:v>
                </c:pt>
                <c:pt idx="1953">
                  <c:v>832.2</c:v>
                </c:pt>
                <c:pt idx="1954">
                  <c:v>801.45</c:v>
                </c:pt>
                <c:pt idx="1955">
                  <c:v>817.36</c:v>
                </c:pt>
                <c:pt idx="1956">
                  <c:v>836.81</c:v>
                </c:pt>
                <c:pt idx="1957">
                  <c:v>821.28</c:v>
                </c:pt>
                <c:pt idx="1958">
                  <c:v>802.04</c:v>
                </c:pt>
                <c:pt idx="1959">
                  <c:v>802.03</c:v>
                </c:pt>
                <c:pt idx="1960">
                  <c:v>821.7</c:v>
                </c:pt>
                <c:pt idx="1961">
                  <c:v>820.6</c:v>
                </c:pt>
                <c:pt idx="1962">
                  <c:v>830.18</c:v>
                </c:pt>
                <c:pt idx="1963">
                  <c:v>833.27</c:v>
                </c:pt>
                <c:pt idx="1964">
                  <c:v>867.95</c:v>
                </c:pt>
                <c:pt idx="1965">
                  <c:v>868.87</c:v>
                </c:pt>
                <c:pt idx="1966">
                  <c:v>884.59</c:v>
                </c:pt>
                <c:pt idx="1967">
                  <c:v>880.44</c:v>
                </c:pt>
                <c:pt idx="1968">
                  <c:v>900.48</c:v>
                </c:pt>
                <c:pt idx="1969">
                  <c:v>905.82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0-42C0-B6D3-A7B8B3E84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51867679"/>
        <c:axId val="551874399"/>
      </c:lineChart>
      <c:dateAx>
        <c:axId val="551867679"/>
        <c:scaling>
          <c:orientation val="minMax"/>
        </c:scaling>
        <c:delete val="0"/>
        <c:axPos val="b"/>
        <c:numFmt formatCode="dd/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74399"/>
        <c:crosses val="autoZero"/>
        <c:auto val="1"/>
        <c:lblOffset val="100"/>
        <c:baseTimeUnit val="days"/>
      </c:dateAx>
      <c:valAx>
        <c:axId val="551874399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676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0</xdr:row>
      <xdr:rowOff>76200</xdr:rowOff>
    </xdr:from>
    <xdr:to>
      <xdr:col>14</xdr:col>
      <xdr:colOff>434340</xdr:colOff>
      <xdr:row>15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C3014B-8A2C-4BA4-962B-4A287ABD7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72962D-15E6-426E-88C1-8DD47398264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83bc986-3678-420f-b0be-202e4887a24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C47C-C0D0-453C-85C8-329CB74E4973}">
  <dimension ref="A1:L105"/>
  <sheetViews>
    <sheetView tabSelected="1" zoomScale="82" zoomScaleNormal="82" workbookViewId="0">
      <selection activeCell="L11" sqref="L11"/>
    </sheetView>
  </sheetViews>
  <sheetFormatPr defaultRowHeight="14.4" outlineLevelCol="1" x14ac:dyDescent="0.3"/>
  <cols>
    <col min="1" max="1" width="20" bestFit="1" customWidth="1"/>
    <col min="2" max="2" width="14.109375" bestFit="1" customWidth="1"/>
    <col min="3" max="3" width="11.6640625" bestFit="1" customWidth="1"/>
    <col min="4" max="4" width="14.21875" bestFit="1" customWidth="1"/>
    <col min="5" max="5" width="19.21875" bestFit="1" customWidth="1"/>
    <col min="6" max="6" width="12.5546875" bestFit="1" customWidth="1"/>
    <col min="7" max="7" width="16" bestFit="1" customWidth="1"/>
    <col min="8" max="8" width="15.88671875" customWidth="1"/>
    <col min="9" max="9" width="13.109375" hidden="1" customWidth="1" outlineLevel="1"/>
    <col min="10" max="10" width="15.88671875" hidden="1" customWidth="1" outlineLevel="1"/>
    <col min="11" max="11" width="12.6640625" hidden="1" customWidth="1" outlineLevel="1"/>
    <col min="12" max="12" width="9.5546875" customWidth="1" collapsed="1"/>
    <col min="13" max="13" width="20.21875" bestFit="1" customWidth="1"/>
  </cols>
  <sheetData>
    <row r="1" spans="1:11" ht="18" x14ac:dyDescent="0.35">
      <c r="A1" s="5" t="s">
        <v>10</v>
      </c>
      <c r="B1" s="5"/>
      <c r="C1" s="5"/>
      <c r="D1" s="5"/>
      <c r="E1" s="5"/>
      <c r="F1" s="5"/>
      <c r="G1" s="5"/>
    </row>
    <row r="2" spans="1:11" x14ac:dyDescent="0.3">
      <c r="A2" s="17" t="s">
        <v>14</v>
      </c>
      <c r="C2" s="15">
        <v>1000000</v>
      </c>
      <c r="E2" s="17" t="s">
        <v>12</v>
      </c>
      <c r="G2" s="16">
        <v>0.1</v>
      </c>
    </row>
    <row r="3" spans="1:11" x14ac:dyDescent="0.3">
      <c r="A3" s="18" t="s">
        <v>16</v>
      </c>
      <c r="B3" s="1"/>
      <c r="C3" s="26">
        <v>43252</v>
      </c>
      <c r="E3" s="18" t="s">
        <v>3</v>
      </c>
      <c r="G3" s="24">
        <f>SUM(G10:G105)</f>
        <v>899669.5614336849</v>
      </c>
    </row>
    <row r="4" spans="1:11" x14ac:dyDescent="0.3">
      <c r="A4" s="17" t="s">
        <v>2</v>
      </c>
      <c r="C4" s="13" cm="1">
        <f t="array" ref="C4">INDEX('Fund Data'!A:A,COUNTA('Fund Data'!A:A))</f>
        <v>46128</v>
      </c>
      <c r="E4" s="18" t="s">
        <v>17</v>
      </c>
      <c r="G4" s="24" cm="1">
        <f t="array" ref="G4">LOOKUP(2,1/(ISNUMBER(F10:F105)),F10:F105)</f>
        <v>1294148.3427465442</v>
      </c>
    </row>
    <row r="5" spans="1:11" x14ac:dyDescent="0.3">
      <c r="A5" s="17" t="s">
        <v>5</v>
      </c>
      <c r="C5" s="14">
        <f>C2/_xlfn.XLOOKUP(C6,'Fund Data'!$A:$A,'Fund Data'!$B:$B,0,-1)</f>
        <v>3432.6513799258546</v>
      </c>
      <c r="E5" s="18" t="s">
        <v>18</v>
      </c>
      <c r="G5" s="24">
        <f>(G4+G3)-C2</f>
        <v>1193817.9041802292</v>
      </c>
    </row>
    <row r="6" spans="1:11" x14ac:dyDescent="0.3">
      <c r="A6" s="17" t="s">
        <v>1</v>
      </c>
      <c r="C6" s="27">
        <v>43221</v>
      </c>
      <c r="E6" s="18" t="s">
        <v>21</v>
      </c>
      <c r="G6" s="25" cm="1">
        <f t="array" ref="G6">IFERROR(XIRR(_xlfn.VSTACK(-$C$2,_xlfn._xlws.FILTER(G10:G105,ISNUMBER(G10:G105)),G4),_xlfn.VSTACK($C$6,_xlfn._xlws.FILTER(B10:B105,ISNUMBER(B10:B105)),C4)),"")</f>
        <v>0.13600465655326843</v>
      </c>
    </row>
    <row r="9" spans="1:11" ht="27.6" x14ac:dyDescent="0.3">
      <c r="A9" s="7" t="s">
        <v>13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11</v>
      </c>
      <c r="G9" s="7" t="s">
        <v>15</v>
      </c>
      <c r="H9" s="22" t="s">
        <v>19</v>
      </c>
      <c r="I9" s="28">
        <f>-$C$2</f>
        <v>-1000000</v>
      </c>
      <c r="J9" s="28">
        <f>$C$6</f>
        <v>43221</v>
      </c>
      <c r="K9" t="s">
        <v>20</v>
      </c>
    </row>
    <row r="10" spans="1:11" x14ac:dyDescent="0.3">
      <c r="A10" s="8">
        <v>1</v>
      </c>
      <c r="B10" s="19">
        <f>_xlfn.LET(_xlpm.d,EDATE($C$3,1),IF(_xlpm.d&gt;$C$4,"",_xlfn.XLOOKUP(_xlpm.d,'Fund Data'!$A$2:$A$1971,'Fund Data'!$A$2:$A$1971,0,-1)))</f>
        <v>43280</v>
      </c>
      <c r="C10" s="20">
        <f>IF(B10="","",_xlfn.XLOOKUP(B10,'Fund Data'!$A$2:$A$1971,'Fund Data'!$B$2:$B$1971,0,-1))</f>
        <v>285.73</v>
      </c>
      <c r="D10" s="21">
        <f>IF(B10="","",C5*$G$2/12)</f>
        <v>28.605428166048792</v>
      </c>
      <c r="E10" s="9">
        <f>IF(B10="","",$C$5-D10)</f>
        <v>3404.045951759806</v>
      </c>
      <c r="F10" s="10">
        <f>IF(B10="","",E10*C10)</f>
        <v>972638.04979632946</v>
      </c>
      <c r="G10" s="6">
        <f>IF(B10="","",D10*C10)</f>
        <v>8173.4289898851221</v>
      </c>
      <c r="H10" s="23"/>
      <c r="I10" s="29">
        <f>IF(B10="","",G10)</f>
        <v>8173.4289898851221</v>
      </c>
      <c r="J10" s="30">
        <f>IF(B10="","",B10)</f>
        <v>43280</v>
      </c>
      <c r="K10">
        <f>IF(B10="","",F10)</f>
        <v>972638.04979632946</v>
      </c>
    </row>
    <row r="11" spans="1:11" x14ac:dyDescent="0.3">
      <c r="A11" s="8">
        <f>ROW()-9</f>
        <v>2</v>
      </c>
      <c r="B11" s="19">
        <f>_xlfn.LET(_xlpm.d,EDATE($C$3,ROW()-9),IF(_xlpm.d&gt;$C$4,"",_xlfn.XLOOKUP(_xlpm.d,'Fund Data'!$A$2:$A$1971,'Fund Data'!$A$2:$A$1971,0,-1)))</f>
        <v>43313</v>
      </c>
      <c r="C11" s="20">
        <f>IF(B11="","",_xlfn.XLOOKUP(B11,'Fund Data'!$A$2:$A$1971,'Fund Data'!$B$2:$B$1971,0,-1))</f>
        <v>303.36</v>
      </c>
      <c r="D11" s="9">
        <f>IF(B11="","",F10*$G$2/12/C11)</f>
        <v>26.718476666785598</v>
      </c>
      <c r="E11" s="9">
        <f>IF(B11="","",E10-D11)</f>
        <v>3377.3274750930204</v>
      </c>
      <c r="F11" s="10">
        <f>IF(B11="","",E11*C11)</f>
        <v>1024546.0628442187</v>
      </c>
      <c r="G11" s="6">
        <f>IF(B11="","",D11*C11)</f>
        <v>8105.3170816360798</v>
      </c>
      <c r="H11" s="23">
        <f>IF(B11="","",XIRR(_xlfn.VSTACK(I$9:I10,K11),_xlfn.VSTACK(J$9:J10,B11)))</f>
        <v>0.13666475415229801</v>
      </c>
      <c r="I11" s="29">
        <f t="shared" ref="I11:I74" si="0">IF(B11="","",G11)</f>
        <v>8105.3170816360798</v>
      </c>
      <c r="J11" s="30">
        <f>IF(B11="","",B11)</f>
        <v>43313</v>
      </c>
      <c r="K11">
        <f t="shared" ref="K11:K74" si="1">IF(B11="","",F11)</f>
        <v>1024546.0628442187</v>
      </c>
    </row>
    <row r="12" spans="1:11" x14ac:dyDescent="0.3">
      <c r="A12" s="8">
        <f t="shared" ref="A12:A75" si="2">ROW()-9</f>
        <v>3</v>
      </c>
      <c r="B12" s="19">
        <f>_xlfn.LET(_xlpm.d,EDATE($C$3,ROW()-9),IF(_xlpm.d&gt;$C$4,"",_xlfn.XLOOKUP(_xlpm.d,'Fund Data'!$A$2:$A$1971,'Fund Data'!$A$2:$A$1971,0,-1)))</f>
        <v>43343</v>
      </c>
      <c r="C12" s="20">
        <f>IF(B12="","",_xlfn.XLOOKUP(B12,'Fund Data'!$A$2:$A$1971,'Fund Data'!$B$2:$B$1971,0,-1))</f>
        <v>320.2</v>
      </c>
      <c r="D12" s="9">
        <f t="shared" ref="D12:D75" si="3">IF(B12="","",F11*$G$2/12/C12)</f>
        <v>26.664221914538278</v>
      </c>
      <c r="E12" s="9">
        <f t="shared" ref="E12:E75" si="4">IF(B12="","",E11-D12)</f>
        <v>3350.6632531784821</v>
      </c>
      <c r="F12" s="10">
        <f t="shared" ref="F12:F75" si="5">IF(B12="","",E12*C12)</f>
        <v>1072882.37366775</v>
      </c>
      <c r="G12" s="6">
        <f t="shared" ref="G12:G75" si="6">IF(B12="","",D12*C12)</f>
        <v>8537.8838570351563</v>
      </c>
      <c r="H12" s="23">
        <f>IF(B12="","",XIRR(_xlfn.VSTACK(I$9:I11,K12),_xlfn.VSTACK(J$9:J11,B12)))</f>
        <v>0.2930666625499726</v>
      </c>
      <c r="I12" s="29">
        <f t="shared" si="0"/>
        <v>8537.8838570351563</v>
      </c>
      <c r="J12" s="30">
        <f t="shared" ref="J12:J75" si="7">IF(B12="","",B12)</f>
        <v>43343</v>
      </c>
      <c r="K12">
        <f t="shared" si="1"/>
        <v>1072882.37366775</v>
      </c>
    </row>
    <row r="13" spans="1:11" x14ac:dyDescent="0.3">
      <c r="A13" s="8">
        <f t="shared" si="2"/>
        <v>4</v>
      </c>
      <c r="B13" s="19">
        <f>_xlfn.LET(_xlpm.d,EDATE($C$3,ROW()-9),IF(_xlpm.d&gt;$C$4,"",_xlfn.XLOOKUP(_xlpm.d,'Fund Data'!$A$2:$A$1971,'Fund Data'!$A$2:$A$1971,0,-1)))</f>
        <v>43374</v>
      </c>
      <c r="C13" s="20">
        <f>IF(B13="","",_xlfn.XLOOKUP(B13,'Fund Data'!$A$2:$A$1971,'Fund Data'!$B$2:$B$1971,0,-1))</f>
        <v>298.77</v>
      </c>
      <c r="D13" s="9">
        <f t="shared" si="3"/>
        <v>29.924980577806508</v>
      </c>
      <c r="E13" s="9">
        <f t="shared" si="4"/>
        <v>3320.7382726006758</v>
      </c>
      <c r="F13" s="10">
        <f t="shared" si="5"/>
        <v>992136.97370490385</v>
      </c>
      <c r="G13" s="6">
        <f t="shared" si="6"/>
        <v>8940.68644723125</v>
      </c>
      <c r="H13" s="23">
        <f>IF(B13="","",XIRR(_xlfn.VSTACK(I$9:I12,K13),_xlfn.VSTACK(J$9:J12,B13)))</f>
        <v>4.1336563229560849E-2</v>
      </c>
      <c r="I13" s="29">
        <f t="shared" si="0"/>
        <v>8940.68644723125</v>
      </c>
      <c r="J13" s="30">
        <f t="shared" si="7"/>
        <v>43374</v>
      </c>
      <c r="K13">
        <f t="shared" si="1"/>
        <v>992136.97370490385</v>
      </c>
    </row>
    <row r="14" spans="1:11" x14ac:dyDescent="0.3">
      <c r="A14" s="8">
        <f t="shared" si="2"/>
        <v>5</v>
      </c>
      <c r="B14" s="19">
        <f>_xlfn.LET(_xlpm.d,EDATE($C$3,ROW()-9),IF(_xlpm.d&gt;$C$4,"",_xlfn.XLOOKUP(_xlpm.d,'Fund Data'!$A$2:$A$1971,'Fund Data'!$A$2:$A$1971,0,-1)))</f>
        <v>43405</v>
      </c>
      <c r="C14" s="20">
        <f>IF(B14="","",_xlfn.XLOOKUP(B14,'Fund Data'!$A$2:$A$1971,'Fund Data'!$B$2:$B$1971,0,-1))</f>
        <v>288.93</v>
      </c>
      <c r="D14" s="9">
        <f t="shared" si="3"/>
        <v>28.615263607820349</v>
      </c>
      <c r="E14" s="9">
        <f t="shared" si="4"/>
        <v>3292.1230089928554</v>
      </c>
      <c r="F14" s="10">
        <f t="shared" si="5"/>
        <v>951193.10098830576</v>
      </c>
      <c r="G14" s="6">
        <f t="shared" si="6"/>
        <v>8267.8081142075334</v>
      </c>
      <c r="H14" s="23">
        <f>IF(B14="","",XIRR(_xlfn.VSTACK(I$9:I13,K14),_xlfn.VSTACK(J$9:J13,B14)))</f>
        <v>-3.0051633715629574E-2</v>
      </c>
      <c r="I14" s="29">
        <f t="shared" si="0"/>
        <v>8267.8081142075334</v>
      </c>
      <c r="J14" s="30">
        <f t="shared" si="7"/>
        <v>43405</v>
      </c>
      <c r="K14">
        <f t="shared" si="1"/>
        <v>951193.10098830576</v>
      </c>
    </row>
    <row r="15" spans="1:11" x14ac:dyDescent="0.3">
      <c r="A15" s="8">
        <f t="shared" si="2"/>
        <v>6</v>
      </c>
      <c r="B15" s="19">
        <f>_xlfn.LET(_xlpm.d,EDATE($C$3,ROW()-9),IF(_xlpm.d&gt;$C$4,"",_xlfn.XLOOKUP(_xlpm.d,'Fund Data'!$A$2:$A$1971,'Fund Data'!$A$2:$A$1971,0,-1)))</f>
        <v>43434</v>
      </c>
      <c r="C15" s="20">
        <f>IF(B15="","",_xlfn.XLOOKUP(B15,'Fund Data'!$A$2:$A$1971,'Fund Data'!$B$2:$B$1971,0,-1))</f>
        <v>293.32</v>
      </c>
      <c r="D15" s="9">
        <f t="shared" si="3"/>
        <v>27.02375963078736</v>
      </c>
      <c r="E15" s="9">
        <f t="shared" si="4"/>
        <v>3265.0992493620679</v>
      </c>
      <c r="F15" s="10">
        <f t="shared" si="5"/>
        <v>957718.91182288178</v>
      </c>
      <c r="G15" s="6">
        <f t="shared" si="6"/>
        <v>7926.6091749025481</v>
      </c>
      <c r="H15" s="23">
        <f>IF(B15="","",XIRR(_xlfn.VSTACK(I$9:I14,K15),_xlfn.VSTACK(J$9:J14,B15)))</f>
        <v>-4.4653117656707765E-4</v>
      </c>
      <c r="I15" s="29">
        <f t="shared" si="0"/>
        <v>7926.6091749025481</v>
      </c>
      <c r="J15" s="30">
        <f t="shared" si="7"/>
        <v>43434</v>
      </c>
      <c r="K15">
        <f t="shared" si="1"/>
        <v>957718.91182288178</v>
      </c>
    </row>
    <row r="16" spans="1:11" x14ac:dyDescent="0.3">
      <c r="A16" s="8">
        <f t="shared" si="2"/>
        <v>7</v>
      </c>
      <c r="B16" s="19">
        <f>_xlfn.LET(_xlpm.d,EDATE($C$3,ROW()-9),IF(_xlpm.d&gt;$C$4,"",_xlfn.XLOOKUP(_xlpm.d,'Fund Data'!$A$2:$A$1971,'Fund Data'!$A$2:$A$1971,0,-1)))</f>
        <v>43466</v>
      </c>
      <c r="C16" s="20">
        <f>IF(B16="","",_xlfn.XLOOKUP(B16,'Fund Data'!$A$2:$A$1971,'Fund Data'!$B$2:$B$1971,0,-1))</f>
        <v>297.85000000000002</v>
      </c>
      <c r="D16" s="9">
        <f t="shared" si="3"/>
        <v>26.795336350033061</v>
      </c>
      <c r="E16" s="9">
        <f t="shared" si="4"/>
        <v>3238.3039130120346</v>
      </c>
      <c r="F16" s="10">
        <f t="shared" si="5"/>
        <v>964528.82049063453</v>
      </c>
      <c r="G16" s="6">
        <f t="shared" si="6"/>
        <v>7980.9909318573482</v>
      </c>
      <c r="H16" s="23">
        <f>IF(B16="","",XIRR(_xlfn.VSTACK(I$9:I15,K16),_xlfn.VSTACK(J$9:J15,B16)))</f>
        <v>2.2136554121971134E-2</v>
      </c>
      <c r="I16" s="29">
        <f t="shared" si="0"/>
        <v>7980.9909318573482</v>
      </c>
      <c r="J16" s="30">
        <f t="shared" si="7"/>
        <v>43466</v>
      </c>
      <c r="K16">
        <f t="shared" si="1"/>
        <v>964528.82049063453</v>
      </c>
    </row>
    <row r="17" spans="1:11" x14ac:dyDescent="0.3">
      <c r="A17" s="8">
        <f t="shared" si="2"/>
        <v>8</v>
      </c>
      <c r="B17" s="19">
        <f>_xlfn.LET(_xlpm.d,EDATE($C$3,ROW()-9),IF(_xlpm.d&gt;$C$4,"",_xlfn.XLOOKUP(_xlpm.d,'Fund Data'!$A$2:$A$1971,'Fund Data'!$A$2:$A$1971,0,-1)))</f>
        <v>43497</v>
      </c>
      <c r="C17" s="20">
        <f>IF(B17="","",_xlfn.XLOOKUP(B17,'Fund Data'!$A$2:$A$1971,'Fund Data'!$B$2:$B$1971,0,-1))</f>
        <v>289.8</v>
      </c>
      <c r="D17" s="9">
        <f t="shared" si="3"/>
        <v>27.73547332903826</v>
      </c>
      <c r="E17" s="9">
        <f t="shared" si="4"/>
        <v>3210.5684396829965</v>
      </c>
      <c r="F17" s="10">
        <f t="shared" si="5"/>
        <v>930422.73382013245</v>
      </c>
      <c r="G17" s="6">
        <f t="shared" si="6"/>
        <v>8037.7401707552881</v>
      </c>
      <c r="H17" s="23">
        <f>IF(B17="","",XIRR(_xlfn.VSTACK(I$9:I16,K17),_xlfn.VSTACK(J$9:J16,B17)))</f>
        <v>-1.5781763195991508E-2</v>
      </c>
      <c r="I17" s="29">
        <f t="shared" si="0"/>
        <v>8037.7401707552881</v>
      </c>
      <c r="J17" s="30">
        <f t="shared" si="7"/>
        <v>43497</v>
      </c>
      <c r="K17">
        <f t="shared" si="1"/>
        <v>930422.73382013245</v>
      </c>
    </row>
    <row r="18" spans="1:11" x14ac:dyDescent="0.3">
      <c r="A18" s="8">
        <f t="shared" si="2"/>
        <v>9</v>
      </c>
      <c r="B18" s="19">
        <f>_xlfn.LET(_xlpm.d,EDATE($C$3,ROW()-9),IF(_xlpm.d&gt;$C$4,"",_xlfn.XLOOKUP(_xlpm.d,'Fund Data'!$A$2:$A$1971,'Fund Data'!$A$2:$A$1971,0,-1)))</f>
        <v>43525</v>
      </c>
      <c r="C18" s="20">
        <f>IF(B18="","",_xlfn.XLOOKUP(B18,'Fund Data'!$A$2:$A$1971,'Fund Data'!$B$2:$B$1971,0,-1))</f>
        <v>293.41000000000003</v>
      </c>
      <c r="D18" s="9">
        <f t="shared" si="3"/>
        <v>26.425557349219311</v>
      </c>
      <c r="E18" s="9">
        <f t="shared" si="4"/>
        <v>3184.1428823337774</v>
      </c>
      <c r="F18" s="10">
        <f t="shared" si="5"/>
        <v>934259.36310555367</v>
      </c>
      <c r="G18" s="6">
        <f t="shared" si="6"/>
        <v>7753.5227818344383</v>
      </c>
      <c r="H18" s="23">
        <f>IF(B18="","",XIRR(_xlfn.VSTACK(I$9:I17,K18),_xlfn.VSTACK(J$9:J17,B18)))</f>
        <v>2.8440058231353764E-4</v>
      </c>
      <c r="I18" s="29">
        <f t="shared" si="0"/>
        <v>7753.5227818344383</v>
      </c>
      <c r="J18" s="30">
        <f t="shared" si="7"/>
        <v>43525</v>
      </c>
      <c r="K18">
        <f t="shared" si="1"/>
        <v>934259.36310555367</v>
      </c>
    </row>
    <row r="19" spans="1:11" x14ac:dyDescent="0.3">
      <c r="A19" s="8">
        <f t="shared" si="2"/>
        <v>10</v>
      </c>
      <c r="B19" s="19">
        <f>_xlfn.LET(_xlpm.d,EDATE($C$3,ROW()-9),IF(_xlpm.d&gt;$C$4,"",_xlfn.XLOOKUP(_xlpm.d,'Fund Data'!$A$2:$A$1971,'Fund Data'!$A$2:$A$1971,0,-1)))</f>
        <v>43556</v>
      </c>
      <c r="C19" s="20">
        <f>IF(B19="","",_xlfn.XLOOKUP(B19,'Fund Data'!$A$2:$A$1971,'Fund Data'!$B$2:$B$1971,0,-1))</f>
        <v>314.04000000000002</v>
      </c>
      <c r="D19" s="9">
        <f t="shared" si="3"/>
        <v>24.791410943020892</v>
      </c>
      <c r="E19" s="9">
        <f t="shared" si="4"/>
        <v>3159.3514713907566</v>
      </c>
      <c r="F19" s="10">
        <f t="shared" si="5"/>
        <v>992162.73607555323</v>
      </c>
      <c r="G19" s="6">
        <f t="shared" si="6"/>
        <v>7785.4946925462818</v>
      </c>
      <c r="H19" s="23">
        <f>IF(B19="","",XIRR(_xlfn.VSTACK(I$9:I18,K19),_xlfn.VSTACK(J$9:J18,B19)))</f>
        <v>7.4483492970466622E-2</v>
      </c>
      <c r="I19" s="29">
        <f t="shared" si="0"/>
        <v>7785.4946925462818</v>
      </c>
      <c r="J19" s="30">
        <f t="shared" si="7"/>
        <v>43556</v>
      </c>
      <c r="K19">
        <f t="shared" si="1"/>
        <v>992162.73607555323</v>
      </c>
    </row>
    <row r="20" spans="1:11" x14ac:dyDescent="0.3">
      <c r="A20" s="8">
        <f t="shared" si="2"/>
        <v>11</v>
      </c>
      <c r="B20" s="19">
        <f>_xlfn.LET(_xlpm.d,EDATE($C$3,ROW()-9),IF(_xlpm.d&gt;$C$4,"",_xlfn.XLOOKUP(_xlpm.d,'Fund Data'!$A$2:$A$1971,'Fund Data'!$A$2:$A$1971,0,-1)))</f>
        <v>43585</v>
      </c>
      <c r="C20" s="20">
        <f>IF(B20="","",_xlfn.XLOOKUP(B20,'Fund Data'!$A$2:$A$1971,'Fund Data'!$B$2:$B$1971,0,-1))</f>
        <v>312.26</v>
      </c>
      <c r="D20" s="9">
        <f t="shared" si="3"/>
        <v>26.478008072214216</v>
      </c>
      <c r="E20" s="9">
        <f t="shared" si="4"/>
        <v>3132.8734633185422</v>
      </c>
      <c r="F20" s="10">
        <f t="shared" si="5"/>
        <v>978271.06765584799</v>
      </c>
      <c r="G20" s="6">
        <f t="shared" si="6"/>
        <v>8268.0228006296111</v>
      </c>
      <c r="H20" s="23">
        <f>IF(B20="","",XIRR(_xlfn.VSTACK(I$9:I19,K20),_xlfn.VSTACK(J$9:J19,B20)))</f>
        <v>6.2261083722114571E-2</v>
      </c>
      <c r="I20" s="29">
        <f t="shared" si="0"/>
        <v>8268.0228006296111</v>
      </c>
      <c r="J20" s="30">
        <f t="shared" si="7"/>
        <v>43585</v>
      </c>
      <c r="K20">
        <f t="shared" si="1"/>
        <v>978271.06765584799</v>
      </c>
    </row>
    <row r="21" spans="1:11" x14ac:dyDescent="0.3">
      <c r="A21" s="8">
        <f t="shared" si="2"/>
        <v>12</v>
      </c>
      <c r="B21" s="19">
        <f>_xlfn.LET(_xlpm.d,EDATE($C$3,ROW()-9),IF(_xlpm.d&gt;$C$4,"",_xlfn.XLOOKUP(_xlpm.d,'Fund Data'!$A$2:$A$1971,'Fund Data'!$A$2:$A$1971,0,-1)))</f>
        <v>43616</v>
      </c>
      <c r="C21" s="20">
        <f>IF(B21="","",_xlfn.XLOOKUP(B21,'Fund Data'!$A$2:$A$1971,'Fund Data'!$B$2:$B$1971,0,-1))</f>
        <v>317.16000000000003</v>
      </c>
      <c r="D21" s="9">
        <f t="shared" si="3"/>
        <v>25.703931445113085</v>
      </c>
      <c r="E21" s="9">
        <f t="shared" si="4"/>
        <v>3107.1695318734292</v>
      </c>
      <c r="F21" s="10">
        <f t="shared" si="5"/>
        <v>985469.88872897683</v>
      </c>
      <c r="G21" s="6">
        <f t="shared" si="6"/>
        <v>8152.2588971320665</v>
      </c>
      <c r="H21" s="23">
        <f>IF(B21="","",XIRR(_xlfn.VSTACK(I$9:I20,K21),_xlfn.VSTACK(J$9:J20,B21)))</f>
        <v>7.229831516742706E-2</v>
      </c>
      <c r="I21" s="29">
        <f t="shared" si="0"/>
        <v>8152.2588971320665</v>
      </c>
      <c r="J21" s="30">
        <f t="shared" si="7"/>
        <v>43616</v>
      </c>
      <c r="K21">
        <f t="shared" si="1"/>
        <v>985469.88872897683</v>
      </c>
    </row>
    <row r="22" spans="1:11" x14ac:dyDescent="0.3">
      <c r="A22" s="8">
        <f t="shared" si="2"/>
        <v>13</v>
      </c>
      <c r="B22" s="19">
        <f>_xlfn.LET(_xlpm.d,EDATE($C$3,ROW()-9),IF(_xlpm.d&gt;$C$4,"",_xlfn.XLOOKUP(_xlpm.d,'Fund Data'!$A$2:$A$1971,'Fund Data'!$A$2:$A$1971,0,-1)))</f>
        <v>43647</v>
      </c>
      <c r="C22" s="20">
        <f>IF(B22="","",_xlfn.XLOOKUP(B22,'Fund Data'!$A$2:$A$1971,'Fund Data'!$B$2:$B$1971,0,-1))</f>
        <v>317.24</v>
      </c>
      <c r="D22" s="9">
        <f t="shared" si="3"/>
        <v>25.886549844727888</v>
      </c>
      <c r="E22" s="9">
        <f t="shared" si="4"/>
        <v>3081.2829820287011</v>
      </c>
      <c r="F22" s="10">
        <f t="shared" si="5"/>
        <v>977506.21321878512</v>
      </c>
      <c r="G22" s="6">
        <f t="shared" si="6"/>
        <v>8212.2490727414752</v>
      </c>
      <c r="H22" s="23">
        <f>IF(B22="","",XIRR(_xlfn.VSTACK(I$9:I21,K22),_xlfn.VSTACK(J$9:J21,B22)))</f>
        <v>6.7313620448112496E-2</v>
      </c>
      <c r="I22" s="29">
        <f t="shared" si="0"/>
        <v>8212.2490727414752</v>
      </c>
      <c r="J22" s="30">
        <f t="shared" si="7"/>
        <v>43647</v>
      </c>
      <c r="K22">
        <f t="shared" si="1"/>
        <v>977506.21321878512</v>
      </c>
    </row>
    <row r="23" spans="1:11" x14ac:dyDescent="0.3">
      <c r="A23" s="8">
        <f t="shared" si="2"/>
        <v>14</v>
      </c>
      <c r="B23" s="19">
        <f>_xlfn.LET(_xlpm.d,EDATE($C$3,ROW()-9),IF(_xlpm.d&gt;$C$4,"",_xlfn.XLOOKUP(_xlpm.d,'Fund Data'!$A$2:$A$1971,'Fund Data'!$A$2:$A$1971,0,-1)))</f>
        <v>43678</v>
      </c>
      <c r="C23" s="20">
        <f>IF(B23="","",_xlfn.XLOOKUP(B23,'Fund Data'!$A$2:$A$1971,'Fund Data'!$B$2:$B$1971,0,-1))</f>
        <v>293.33999999999997</v>
      </c>
      <c r="D23" s="9">
        <f t="shared" si="3"/>
        <v>27.76943175208476</v>
      </c>
      <c r="E23" s="9">
        <f t="shared" si="4"/>
        <v>3053.5135502766161</v>
      </c>
      <c r="F23" s="10">
        <f t="shared" si="5"/>
        <v>895717.66483814246</v>
      </c>
      <c r="G23" s="6">
        <f t="shared" si="6"/>
        <v>8145.8851101565424</v>
      </c>
      <c r="H23" s="23">
        <f>IF(B23="","",XIRR(_xlfn.VSTACK(I$9:I22,K23),_xlfn.VSTACK(J$9:J22,B23)))</f>
        <v>1.5629261732101442E-3</v>
      </c>
      <c r="I23" s="29">
        <f t="shared" si="0"/>
        <v>8145.8851101565424</v>
      </c>
      <c r="J23" s="30">
        <f t="shared" si="7"/>
        <v>43678</v>
      </c>
      <c r="K23">
        <f t="shared" si="1"/>
        <v>895717.66483814246</v>
      </c>
    </row>
    <row r="24" spans="1:11" x14ac:dyDescent="0.3">
      <c r="A24" s="8">
        <f t="shared" si="2"/>
        <v>15</v>
      </c>
      <c r="B24" s="19">
        <f>_xlfn.LET(_xlpm.d,EDATE($C$3,ROW()-9),IF(_xlpm.d&gt;$C$4,"",_xlfn.XLOOKUP(_xlpm.d,'Fund Data'!$A$2:$A$1971,'Fund Data'!$A$2:$A$1971,0,-1)))</f>
        <v>43707</v>
      </c>
      <c r="C24" s="20">
        <f>IF(B24="","",_xlfn.XLOOKUP(B24,'Fund Data'!$A$2:$A$1971,'Fund Data'!$B$2:$B$1971,0,-1))</f>
        <v>289.94</v>
      </c>
      <c r="D24" s="9">
        <f t="shared" si="3"/>
        <v>25.744339772543242</v>
      </c>
      <c r="E24" s="9">
        <f t="shared" si="4"/>
        <v>3027.7692105040728</v>
      </c>
      <c r="F24" s="10">
        <f t="shared" si="5"/>
        <v>877871.40489355091</v>
      </c>
      <c r="G24" s="6">
        <f t="shared" si="6"/>
        <v>7464.3138736511874</v>
      </c>
      <c r="H24" s="23">
        <f>IF(B24="","",XIRR(_xlfn.VSTACK(I$9:I23,K24),_xlfn.VSTACK(J$9:J23,B24)))</f>
        <v>-6.229892373085022E-3</v>
      </c>
      <c r="I24" s="29">
        <f t="shared" si="0"/>
        <v>7464.3138736511874</v>
      </c>
      <c r="J24" s="30">
        <f t="shared" si="7"/>
        <v>43707</v>
      </c>
      <c r="K24">
        <f t="shared" si="1"/>
        <v>877871.40489355091</v>
      </c>
    </row>
    <row r="25" spans="1:11" x14ac:dyDescent="0.3">
      <c r="A25" s="8">
        <f t="shared" si="2"/>
        <v>16</v>
      </c>
      <c r="B25" s="19">
        <f>_xlfn.LET(_xlpm.d,EDATE($C$3,ROW()-9),IF(_xlpm.d&gt;$C$4,"",_xlfn.XLOOKUP(_xlpm.d,'Fund Data'!$A$2:$A$1971,'Fund Data'!$A$2:$A$1971,0,-1)))</f>
        <v>43739</v>
      </c>
      <c r="C25" s="20">
        <f>IF(B25="","",_xlfn.XLOOKUP(B25,'Fund Data'!$A$2:$A$1971,'Fund Data'!$B$2:$B$1971,0,-1))</f>
        <v>296.11</v>
      </c>
      <c r="D25" s="9">
        <f t="shared" si="3"/>
        <v>24.705666950726386</v>
      </c>
      <c r="E25" s="9">
        <f t="shared" si="4"/>
        <v>3003.0635435533463</v>
      </c>
      <c r="F25" s="10">
        <f t="shared" si="5"/>
        <v>889237.14588158147</v>
      </c>
      <c r="G25" s="6">
        <f t="shared" si="6"/>
        <v>7315.5950407795899</v>
      </c>
      <c r="H25" s="23">
        <f>IF(B25="","",XIRR(_xlfn.VSTACK(I$9:I24,K25),_xlfn.VSTACK(J$9:J24,B25)))</f>
        <v>8.2043260335922276E-3</v>
      </c>
      <c r="I25" s="29">
        <f t="shared" si="0"/>
        <v>7315.5950407795899</v>
      </c>
      <c r="J25" s="30">
        <f t="shared" si="7"/>
        <v>43739</v>
      </c>
      <c r="K25">
        <f t="shared" si="1"/>
        <v>889237.14588158147</v>
      </c>
    </row>
    <row r="26" spans="1:11" x14ac:dyDescent="0.3">
      <c r="A26" s="8">
        <f t="shared" si="2"/>
        <v>17</v>
      </c>
      <c r="B26" s="19">
        <f>_xlfn.LET(_xlpm.d,EDATE($C$3,ROW()-9),IF(_xlpm.d&gt;$C$4,"",_xlfn.XLOOKUP(_xlpm.d,'Fund Data'!$A$2:$A$1971,'Fund Data'!$A$2:$A$1971,0,-1)))</f>
        <v>43770</v>
      </c>
      <c r="C26" s="20">
        <f>IF(B26="","",_xlfn.XLOOKUP(B26,'Fund Data'!$A$2:$A$1971,'Fund Data'!$B$2:$B$1971,0,-1))</f>
        <v>313.74</v>
      </c>
      <c r="D26" s="9">
        <f t="shared" si="3"/>
        <v>23.619269296274556</v>
      </c>
      <c r="E26" s="9">
        <f t="shared" si="4"/>
        <v>2979.4442742570718</v>
      </c>
      <c r="F26" s="10">
        <f t="shared" si="5"/>
        <v>934770.84660541371</v>
      </c>
      <c r="G26" s="6">
        <f t="shared" si="6"/>
        <v>7410.3095490131791</v>
      </c>
      <c r="H26" s="23">
        <f>IF(B26="","",XIRR(_xlfn.VSTACK(I$9:I25,K26),_xlfn.VSTACK(J$9:J25,B26)))</f>
        <v>4.4707283377647414E-2</v>
      </c>
      <c r="I26" s="29">
        <f t="shared" si="0"/>
        <v>7410.3095490131791</v>
      </c>
      <c r="J26" s="30">
        <f t="shared" si="7"/>
        <v>43770</v>
      </c>
      <c r="K26">
        <f t="shared" si="1"/>
        <v>934770.84660541371</v>
      </c>
    </row>
    <row r="27" spans="1:11" x14ac:dyDescent="0.3">
      <c r="A27" s="8">
        <f t="shared" si="2"/>
        <v>18</v>
      </c>
      <c r="B27" s="19">
        <f>_xlfn.LET(_xlpm.d,EDATE($C$3,ROW()-9),IF(_xlpm.d&gt;$C$4,"",_xlfn.XLOOKUP(_xlpm.d,'Fund Data'!$A$2:$A$1971,'Fund Data'!$A$2:$A$1971,0,-1)))</f>
        <v>43798</v>
      </c>
      <c r="C27" s="20">
        <f>IF(B27="","",_xlfn.XLOOKUP(B27,'Fund Data'!$A$2:$A$1971,'Fund Data'!$B$2:$B$1971,0,-1))</f>
        <v>315.57</v>
      </c>
      <c r="D27" s="9">
        <f t="shared" si="3"/>
        <v>24.684719887965002</v>
      </c>
      <c r="E27" s="9">
        <f t="shared" si="4"/>
        <v>2954.7595543691068</v>
      </c>
      <c r="F27" s="10">
        <f t="shared" si="5"/>
        <v>932433.47257225902</v>
      </c>
      <c r="G27" s="6">
        <f t="shared" si="6"/>
        <v>7789.7570550451155</v>
      </c>
      <c r="H27" s="23">
        <f>IF(B27="","",XIRR(_xlfn.VSTACK(I$9:I26,K27),_xlfn.VSTACK(J$9:J26,B27)))</f>
        <v>4.5995548367500305E-2</v>
      </c>
      <c r="I27" s="29">
        <f t="shared" si="0"/>
        <v>7789.7570550451155</v>
      </c>
      <c r="J27" s="30">
        <f t="shared" si="7"/>
        <v>43798</v>
      </c>
      <c r="K27">
        <f t="shared" si="1"/>
        <v>932433.47257225902</v>
      </c>
    </row>
    <row r="28" spans="1:11" x14ac:dyDescent="0.3">
      <c r="A28" s="8">
        <f t="shared" si="2"/>
        <v>19</v>
      </c>
      <c r="B28" s="19">
        <f>_xlfn.LET(_xlpm.d,EDATE($C$3,ROW()-9),IF(_xlpm.d&gt;$C$4,"",_xlfn.XLOOKUP(_xlpm.d,'Fund Data'!$A$2:$A$1971,'Fund Data'!$A$2:$A$1971,0,-1)))</f>
        <v>43831</v>
      </c>
      <c r="C28" s="20">
        <f>IF(B28="","",_xlfn.XLOOKUP(B28,'Fund Data'!$A$2:$A$1971,'Fund Data'!$B$2:$B$1971,0,-1))</f>
        <v>319.12</v>
      </c>
      <c r="D28" s="9">
        <f t="shared" si="3"/>
        <v>24.349081656123584</v>
      </c>
      <c r="E28" s="9">
        <f t="shared" si="4"/>
        <v>2930.4104727129834</v>
      </c>
      <c r="F28" s="10">
        <f t="shared" si="5"/>
        <v>935152.5900521673</v>
      </c>
      <c r="G28" s="6">
        <f t="shared" si="6"/>
        <v>7770.2789381021585</v>
      </c>
      <c r="H28" s="23">
        <f>IF(B28="","",XIRR(_xlfn.VSTACK(I$9:I27,K28),_xlfn.VSTACK(J$9:J27,B28)))</f>
        <v>5.018863379955292E-2</v>
      </c>
      <c r="I28" s="29">
        <f t="shared" si="0"/>
        <v>7770.2789381021585</v>
      </c>
      <c r="J28" s="30">
        <f t="shared" si="7"/>
        <v>43831</v>
      </c>
      <c r="K28">
        <f t="shared" si="1"/>
        <v>935152.5900521673</v>
      </c>
    </row>
    <row r="29" spans="1:11" x14ac:dyDescent="0.3">
      <c r="A29" s="8">
        <f t="shared" si="2"/>
        <v>20</v>
      </c>
      <c r="B29" s="19">
        <f>_xlfn.LET(_xlpm.d,EDATE($C$3,ROW()-9),IF(_xlpm.d&gt;$C$4,"",_xlfn.XLOOKUP(_xlpm.d,'Fund Data'!$A$2:$A$1971,'Fund Data'!$A$2:$A$1971,0,-1)))</f>
        <v>43861</v>
      </c>
      <c r="C29" s="20">
        <f>IF(B29="","",_xlfn.XLOOKUP(B29,'Fund Data'!$A$2:$A$1971,'Fund Data'!$B$2:$B$1971,0,-1))</f>
        <v>317.67</v>
      </c>
      <c r="D29" s="9">
        <f t="shared" si="3"/>
        <v>24.531552398510176</v>
      </c>
      <c r="E29" s="9">
        <f t="shared" si="4"/>
        <v>2905.8789203144734</v>
      </c>
      <c r="F29" s="10">
        <f t="shared" si="5"/>
        <v>923110.55661629885</v>
      </c>
      <c r="G29" s="6">
        <f t="shared" si="6"/>
        <v>7792.9382504347277</v>
      </c>
      <c r="H29" s="23">
        <f>IF(B29="","",XIRR(_xlfn.VSTACK(I$9:I28,K29),_xlfn.VSTACK(J$9:J28,B29)))</f>
        <v>4.5437911152839669E-2</v>
      </c>
      <c r="I29" s="29">
        <f t="shared" si="0"/>
        <v>7792.9382504347277</v>
      </c>
      <c r="J29" s="30">
        <f t="shared" si="7"/>
        <v>43861</v>
      </c>
      <c r="K29">
        <f t="shared" si="1"/>
        <v>923110.55661629885</v>
      </c>
    </row>
    <row r="30" spans="1:11" x14ac:dyDescent="0.3">
      <c r="A30" s="8">
        <f t="shared" si="2"/>
        <v>21</v>
      </c>
      <c r="B30" s="19">
        <f>_xlfn.LET(_xlpm.d,EDATE($C$3,ROW()-9),IF(_xlpm.d&gt;$C$4,"",_xlfn.XLOOKUP(_xlpm.d,'Fund Data'!$A$2:$A$1971,'Fund Data'!$A$2:$A$1971,0,-1)))</f>
        <v>43889</v>
      </c>
      <c r="C30" s="20">
        <f>IF(B30="","",_xlfn.XLOOKUP(B30,'Fund Data'!$A$2:$A$1971,'Fund Data'!$B$2:$B$1971,0,-1))</f>
        <v>295.14999999999998</v>
      </c>
      <c r="D30" s="9">
        <f t="shared" si="3"/>
        <v>26.063316861943051</v>
      </c>
      <c r="E30" s="9">
        <f t="shared" si="4"/>
        <v>2879.8156034525305</v>
      </c>
      <c r="F30" s="10">
        <f t="shared" si="5"/>
        <v>849977.57535901433</v>
      </c>
      <c r="G30" s="6">
        <f t="shared" si="6"/>
        <v>7692.5879718024908</v>
      </c>
      <c r="H30" s="23">
        <f>IF(B30="","",XIRR(_xlfn.VSTACK(I$9:I29,K30),_xlfn.VSTACK(J$9:J29,B30)))</f>
        <v>5.7935088872909553E-3</v>
      </c>
      <c r="I30" s="29">
        <f t="shared" si="0"/>
        <v>7692.5879718024908</v>
      </c>
      <c r="J30" s="30">
        <f t="shared" si="7"/>
        <v>43889</v>
      </c>
      <c r="K30">
        <f t="shared" si="1"/>
        <v>849977.57535901433</v>
      </c>
    </row>
    <row r="31" spans="1:11" x14ac:dyDescent="0.3">
      <c r="A31" s="8">
        <f t="shared" si="2"/>
        <v>22</v>
      </c>
      <c r="B31" s="19">
        <f>_xlfn.LET(_xlpm.d,EDATE($C$3,ROW()-9),IF(_xlpm.d&gt;$C$4,"",_xlfn.XLOOKUP(_xlpm.d,'Fund Data'!$A$2:$A$1971,'Fund Data'!$A$2:$A$1971,0,-1)))</f>
        <v>43922</v>
      </c>
      <c r="C31" s="20">
        <f>IF(B31="","",_xlfn.XLOOKUP(B31,'Fund Data'!$A$2:$A$1971,'Fund Data'!$B$2:$B$1971,0,-1))</f>
        <v>212.16</v>
      </c>
      <c r="D31" s="9">
        <f t="shared" si="3"/>
        <v>33.385871329775263</v>
      </c>
      <c r="E31" s="9">
        <f t="shared" si="4"/>
        <v>2846.429732122755</v>
      </c>
      <c r="F31" s="10">
        <f t="shared" si="5"/>
        <v>603898.53196716367</v>
      </c>
      <c r="G31" s="6">
        <f t="shared" si="6"/>
        <v>7083.1464613251201</v>
      </c>
      <c r="H31" s="23">
        <f>IF(B31="","",XIRR(_xlfn.VSTACK(I$9:I30,K31),_xlfn.VSTACK(J$9:J30,B31)))</f>
        <v>-0.13914345093071459</v>
      </c>
      <c r="I31" s="29">
        <f t="shared" si="0"/>
        <v>7083.1464613251201</v>
      </c>
      <c r="J31" s="30">
        <f t="shared" si="7"/>
        <v>43922</v>
      </c>
      <c r="K31">
        <f t="shared" si="1"/>
        <v>603898.53196716367</v>
      </c>
    </row>
    <row r="32" spans="1:11" x14ac:dyDescent="0.3">
      <c r="A32" s="8">
        <f t="shared" si="2"/>
        <v>23</v>
      </c>
      <c r="B32" s="19">
        <f>_xlfn.LET(_xlpm.d,EDATE($C$3,ROW()-9),IF(_xlpm.d&gt;$C$4,"",_xlfn.XLOOKUP(_xlpm.d,'Fund Data'!$A$2:$A$1971,'Fund Data'!$A$2:$A$1971,0,-1)))</f>
        <v>43951</v>
      </c>
      <c r="C32" s="20">
        <f>IF(B32="","",_xlfn.XLOOKUP(B32,'Fund Data'!$A$2:$A$1971,'Fund Data'!$B$2:$B$1971,0,-1))</f>
        <v>250.96</v>
      </c>
      <c r="D32" s="9">
        <f t="shared" si="3"/>
        <v>20.052947746226614</v>
      </c>
      <c r="E32" s="9">
        <f t="shared" si="4"/>
        <v>2826.3767843765286</v>
      </c>
      <c r="F32" s="10">
        <f t="shared" si="5"/>
        <v>709307.51780713361</v>
      </c>
      <c r="G32" s="6">
        <f t="shared" si="6"/>
        <v>5032.4877663930311</v>
      </c>
      <c r="H32" s="23">
        <f>IF(B32="","",XIRR(_xlfn.VSTACK(I$9:I31,K32),_xlfn.VSTACK(J$9:J31,B32)))</f>
        <v>-6.576147377490997E-2</v>
      </c>
      <c r="I32" s="29">
        <f t="shared" si="0"/>
        <v>5032.4877663930311</v>
      </c>
      <c r="J32" s="30">
        <f t="shared" si="7"/>
        <v>43951</v>
      </c>
      <c r="K32">
        <f t="shared" si="1"/>
        <v>709307.51780713361</v>
      </c>
    </row>
    <row r="33" spans="1:11" x14ac:dyDescent="0.3">
      <c r="A33" s="8">
        <f t="shared" si="2"/>
        <v>24</v>
      </c>
      <c r="B33" s="19">
        <f>_xlfn.LET(_xlpm.d,EDATE($C$3,ROW()-9),IF(_xlpm.d&gt;$C$4,"",_xlfn.XLOOKUP(_xlpm.d,'Fund Data'!$A$2:$A$1971,'Fund Data'!$A$2:$A$1971,0,-1)))</f>
        <v>43983</v>
      </c>
      <c r="C33" s="20">
        <f>IF(B33="","",_xlfn.XLOOKUP(B33,'Fund Data'!$A$2:$A$1971,'Fund Data'!$B$2:$B$1971,0,-1))</f>
        <v>252.6</v>
      </c>
      <c r="D33" s="9">
        <f t="shared" si="3"/>
        <v>23.400221622035289</v>
      </c>
      <c r="E33" s="9">
        <f t="shared" si="4"/>
        <v>2802.9765627544934</v>
      </c>
      <c r="F33" s="10">
        <f t="shared" si="5"/>
        <v>708031.87975178508</v>
      </c>
      <c r="G33" s="6">
        <f t="shared" si="6"/>
        <v>5910.8959817261139</v>
      </c>
      <c r="H33" s="23">
        <f>IF(B33="","",XIRR(_xlfn.VSTACK(I$9:I32,K33),_xlfn.VSTACK(J$9:J32,B33)))</f>
        <v>-6.125142276287078E-2</v>
      </c>
      <c r="I33" s="29">
        <f t="shared" si="0"/>
        <v>5910.8959817261139</v>
      </c>
      <c r="J33" s="30">
        <f t="shared" si="7"/>
        <v>43983</v>
      </c>
      <c r="K33">
        <f t="shared" si="1"/>
        <v>708031.87975178508</v>
      </c>
    </row>
    <row r="34" spans="1:11" x14ac:dyDescent="0.3">
      <c r="A34" s="8">
        <f t="shared" si="2"/>
        <v>25</v>
      </c>
      <c r="B34" s="19">
        <f>_xlfn.LET(_xlpm.d,EDATE($C$3,ROW()-9),IF(_xlpm.d&gt;$C$4,"",_xlfn.XLOOKUP(_xlpm.d,'Fund Data'!$A$2:$A$1971,'Fund Data'!$A$2:$A$1971,0,-1)))</f>
        <v>44013</v>
      </c>
      <c r="C34" s="20">
        <f>IF(B34="","",_xlfn.XLOOKUP(B34,'Fund Data'!$A$2:$A$1971,'Fund Data'!$B$2:$B$1971,0,-1))</f>
        <v>263.58999999999997</v>
      </c>
      <c r="D34" s="9">
        <f t="shared" si="3"/>
        <v>22.384254579453735</v>
      </c>
      <c r="E34" s="9">
        <f t="shared" si="4"/>
        <v>2780.5923081750398</v>
      </c>
      <c r="F34" s="10">
        <f t="shared" si="5"/>
        <v>732936.32651185861</v>
      </c>
      <c r="G34" s="6">
        <f t="shared" si="6"/>
        <v>5900.2656645982097</v>
      </c>
      <c r="H34" s="23">
        <f>IF(B34="","",XIRR(_xlfn.VSTACK(I$9:I33,K34),_xlfn.VSTACK(J$9:J33,B34)))</f>
        <v>-4.2539486289024347E-2</v>
      </c>
      <c r="I34" s="29">
        <f t="shared" si="0"/>
        <v>5900.2656645982097</v>
      </c>
      <c r="J34" s="30">
        <f t="shared" si="7"/>
        <v>44013</v>
      </c>
      <c r="K34">
        <f t="shared" si="1"/>
        <v>732936.32651185861</v>
      </c>
    </row>
    <row r="35" spans="1:11" x14ac:dyDescent="0.3">
      <c r="A35" s="8">
        <f t="shared" si="2"/>
        <v>26</v>
      </c>
      <c r="B35" s="19">
        <f>_xlfn.LET(_xlpm.d,EDATE($C$3,ROW()-9),IF(_xlpm.d&gt;$C$4,"",_xlfn.XLOOKUP(_xlpm.d,'Fund Data'!$A$2:$A$1971,'Fund Data'!$A$2:$A$1971,0,-1)))</f>
        <v>44043</v>
      </c>
      <c r="C35" s="20">
        <f>IF(B35="","",_xlfn.XLOOKUP(B35,'Fund Data'!$A$2:$A$1971,'Fund Data'!$B$2:$B$1971,0,-1))</f>
        <v>275.39</v>
      </c>
      <c r="D35" s="9">
        <f t="shared" si="3"/>
        <v>22.178738229173739</v>
      </c>
      <c r="E35" s="9">
        <f t="shared" si="4"/>
        <v>2758.4135699458661</v>
      </c>
      <c r="F35" s="10">
        <f t="shared" si="5"/>
        <v>759639.51302739198</v>
      </c>
      <c r="G35" s="6">
        <f t="shared" si="6"/>
        <v>6107.8027209321554</v>
      </c>
      <c r="H35" s="23">
        <f>IF(B35="","",XIRR(_xlfn.VSTACK(I$9:I34,K35),_xlfn.VSTACK(J$9:J34,B35)))</f>
        <v>-2.4434784054756162E-2</v>
      </c>
      <c r="I35" s="29">
        <f t="shared" si="0"/>
        <v>6107.8027209321554</v>
      </c>
      <c r="J35" s="30">
        <f t="shared" si="7"/>
        <v>44043</v>
      </c>
      <c r="K35">
        <f t="shared" si="1"/>
        <v>759639.51302739198</v>
      </c>
    </row>
    <row r="36" spans="1:11" x14ac:dyDescent="0.3">
      <c r="A36" s="8">
        <f t="shared" si="2"/>
        <v>27</v>
      </c>
      <c r="B36" s="19">
        <f>_xlfn.LET(_xlpm.d,EDATE($C$3,ROW()-9),IF(_xlpm.d&gt;$C$4,"",_xlfn.XLOOKUP(_xlpm.d,'Fund Data'!$A$2:$A$1971,'Fund Data'!$A$2:$A$1971,0,-1)))</f>
        <v>44075</v>
      </c>
      <c r="C36" s="20">
        <f>IF(B36="","",_xlfn.XLOOKUP(B36,'Fund Data'!$A$2:$A$1971,'Fund Data'!$B$2:$B$1971,0,-1))</f>
        <v>292.7</v>
      </c>
      <c r="D36" s="9">
        <f t="shared" si="3"/>
        <v>21.62736342749664</v>
      </c>
      <c r="E36" s="9">
        <f t="shared" si="4"/>
        <v>2736.7862065183695</v>
      </c>
      <c r="F36" s="10">
        <f t="shared" si="5"/>
        <v>801057.32264792675</v>
      </c>
      <c r="G36" s="6">
        <f t="shared" si="6"/>
        <v>6330.3292752282659</v>
      </c>
      <c r="H36" s="23">
        <f>IF(B36="","",XIRR(_xlfn.VSTACK(I$9:I35,K36),_xlfn.VSTACK(J$9:J35,B36)))</f>
        <v>-6.5791308879852299E-4</v>
      </c>
      <c r="I36" s="29">
        <f t="shared" si="0"/>
        <v>6330.3292752282659</v>
      </c>
      <c r="J36" s="30">
        <f t="shared" si="7"/>
        <v>44075</v>
      </c>
      <c r="K36">
        <f t="shared" si="1"/>
        <v>801057.32264792675</v>
      </c>
    </row>
    <row r="37" spans="1:11" x14ac:dyDescent="0.3">
      <c r="A37" s="8">
        <f t="shared" si="2"/>
        <v>28</v>
      </c>
      <c r="B37" s="19">
        <f>_xlfn.LET(_xlpm.d,EDATE($C$3,ROW()-9),IF(_xlpm.d&gt;$C$4,"",_xlfn.XLOOKUP(_xlpm.d,'Fund Data'!$A$2:$A$1971,'Fund Data'!$A$2:$A$1971,0,-1)))</f>
        <v>44105</v>
      </c>
      <c r="C37" s="20">
        <f>IF(B37="","",_xlfn.XLOOKUP(B37,'Fund Data'!$A$2:$A$1971,'Fund Data'!$B$2:$B$1971,0,-1))</f>
        <v>283.68</v>
      </c>
      <c r="D37" s="9">
        <f t="shared" si="3"/>
        <v>23.531717740879593</v>
      </c>
      <c r="E37" s="9">
        <f t="shared" si="4"/>
        <v>2713.2544887774898</v>
      </c>
      <c r="F37" s="10">
        <f t="shared" si="5"/>
        <v>769696.03337639826</v>
      </c>
      <c r="G37" s="6">
        <f t="shared" si="6"/>
        <v>6675.4776887327234</v>
      </c>
      <c r="H37" s="23">
        <f>IF(B37="","",XIRR(_xlfn.VSTACK(I$9:I36,K37),_xlfn.VSTACK(J$9:J36,B37)))</f>
        <v>-1.2283912301063536E-2</v>
      </c>
      <c r="I37" s="29">
        <f t="shared" si="0"/>
        <v>6675.4776887327234</v>
      </c>
      <c r="J37" s="30">
        <f t="shared" si="7"/>
        <v>44105</v>
      </c>
      <c r="K37">
        <f t="shared" si="1"/>
        <v>769696.03337639826</v>
      </c>
    </row>
    <row r="38" spans="1:11" x14ac:dyDescent="0.3">
      <c r="A38" s="8">
        <f t="shared" si="2"/>
        <v>29</v>
      </c>
      <c r="B38" s="19">
        <f>_xlfn.LET(_xlpm.d,EDATE($C$3,ROW()-9),IF(_xlpm.d&gt;$C$4,"",_xlfn.XLOOKUP(_xlpm.d,'Fund Data'!$A$2:$A$1971,'Fund Data'!$A$2:$A$1971,0,-1)))</f>
        <v>44134</v>
      </c>
      <c r="C38" s="20">
        <f>IF(B38="","",_xlfn.XLOOKUP(B38,'Fund Data'!$A$2:$A$1971,'Fund Data'!$B$2:$B$1971,0,-1))</f>
        <v>287.08999999999997</v>
      </c>
      <c r="D38" s="9">
        <f t="shared" si="3"/>
        <v>22.341891432895558</v>
      </c>
      <c r="E38" s="9">
        <f t="shared" si="4"/>
        <v>2690.9125973445944</v>
      </c>
      <c r="F38" s="10">
        <f t="shared" si="5"/>
        <v>772534.09757165948</v>
      </c>
      <c r="G38" s="6">
        <f t="shared" si="6"/>
        <v>6414.1336114699852</v>
      </c>
      <c r="H38" s="23">
        <f>IF(B38="","",XIRR(_xlfn.VSTACK(I$9:I37,K38),_xlfn.VSTACK(J$9:J37,B38)))</f>
        <v>-7.6143771409988405E-3</v>
      </c>
      <c r="I38" s="29">
        <f t="shared" si="0"/>
        <v>6414.1336114699852</v>
      </c>
      <c r="J38" s="30">
        <f t="shared" si="7"/>
        <v>44134</v>
      </c>
      <c r="K38">
        <f t="shared" si="1"/>
        <v>772534.09757165948</v>
      </c>
    </row>
    <row r="39" spans="1:11" x14ac:dyDescent="0.3">
      <c r="A39" s="8">
        <f t="shared" si="2"/>
        <v>30</v>
      </c>
      <c r="B39" s="19">
        <f>_xlfn.LET(_xlpm.d,EDATE($C$3,ROW()-9),IF(_xlpm.d&gt;$C$4,"",_xlfn.XLOOKUP(_xlpm.d,'Fund Data'!$A$2:$A$1971,'Fund Data'!$A$2:$A$1971,0,-1)))</f>
        <v>44166</v>
      </c>
      <c r="C39" s="20">
        <f>IF(B39="","",_xlfn.XLOOKUP(B39,'Fund Data'!$A$2:$A$1971,'Fund Data'!$B$2:$B$1971,0,-1))</f>
        <v>330.55</v>
      </c>
      <c r="D39" s="9">
        <f t="shared" si="3"/>
        <v>19.475976845955213</v>
      </c>
      <c r="E39" s="9">
        <f t="shared" si="4"/>
        <v>2671.4366204986391</v>
      </c>
      <c r="F39" s="10">
        <f t="shared" si="5"/>
        <v>883043.37490582513</v>
      </c>
      <c r="G39" s="6">
        <f t="shared" si="6"/>
        <v>6437.7841464304956</v>
      </c>
      <c r="H39" s="23">
        <f>IF(B39="","",XIRR(_xlfn.VSTACK(I$9:I38,K39),_xlfn.VSTACK(J$9:J38,B39)))</f>
        <v>4.1939440369606021E-2</v>
      </c>
      <c r="I39" s="29">
        <f t="shared" si="0"/>
        <v>6437.7841464304956</v>
      </c>
      <c r="J39" s="30">
        <f t="shared" si="7"/>
        <v>44166</v>
      </c>
      <c r="K39">
        <f t="shared" si="1"/>
        <v>883043.37490582513</v>
      </c>
    </row>
    <row r="40" spans="1:11" x14ac:dyDescent="0.3">
      <c r="A40" s="8">
        <f t="shared" si="2"/>
        <v>31</v>
      </c>
      <c r="B40" s="19">
        <f>_xlfn.LET(_xlpm.d,EDATE($C$3,ROW()-9),IF(_xlpm.d&gt;$C$4,"",_xlfn.XLOOKUP(_xlpm.d,'Fund Data'!$A$2:$A$1971,'Fund Data'!$A$2:$A$1971,0,-1)))</f>
        <v>44197</v>
      </c>
      <c r="C40" s="20">
        <f>IF(B40="","",_xlfn.XLOOKUP(B40,'Fund Data'!$A$2:$A$1971,'Fund Data'!$B$2:$B$1971,0,-1))</f>
        <v>352.66</v>
      </c>
      <c r="D40" s="9">
        <f t="shared" si="3"/>
        <v>20.86625869359121</v>
      </c>
      <c r="E40" s="9">
        <f t="shared" si="4"/>
        <v>2650.5703618050479</v>
      </c>
      <c r="F40" s="10">
        <f t="shared" si="5"/>
        <v>934750.14379416825</v>
      </c>
      <c r="G40" s="6">
        <f t="shared" si="6"/>
        <v>7358.6947908818765</v>
      </c>
      <c r="H40" s="23">
        <f>IF(B40="","",XIRR(_xlfn.VSTACK(I$9:I39,K40),_xlfn.VSTACK(J$9:J39,B40)))</f>
        <v>6.3161411881446819E-2</v>
      </c>
      <c r="I40" s="29">
        <f t="shared" si="0"/>
        <v>7358.6947908818765</v>
      </c>
      <c r="J40" s="30">
        <f t="shared" si="7"/>
        <v>44197</v>
      </c>
      <c r="K40">
        <f t="shared" si="1"/>
        <v>934750.14379416825</v>
      </c>
    </row>
    <row r="41" spans="1:11" x14ac:dyDescent="0.3">
      <c r="A41" s="8">
        <f t="shared" si="2"/>
        <v>32</v>
      </c>
      <c r="B41" s="19">
        <f>_xlfn.LET(_xlpm.d,EDATE($C$3,ROW()-9),IF(_xlpm.d&gt;$C$4,"",_xlfn.XLOOKUP(_xlpm.d,'Fund Data'!$A$2:$A$1971,'Fund Data'!$A$2:$A$1971,0,-1)))</f>
        <v>44228</v>
      </c>
      <c r="C41" s="20">
        <f>IF(B41="","",_xlfn.XLOOKUP(B41,'Fund Data'!$A$2:$A$1971,'Fund Data'!$B$2:$B$1971,0,-1))</f>
        <v>365.17</v>
      </c>
      <c r="D41" s="9">
        <f t="shared" si="3"/>
        <v>21.331392314861759</v>
      </c>
      <c r="E41" s="9">
        <f t="shared" si="4"/>
        <v>2629.2389694901863</v>
      </c>
      <c r="F41" s="10">
        <f t="shared" si="5"/>
        <v>960119.19448873133</v>
      </c>
      <c r="G41" s="6">
        <f t="shared" si="6"/>
        <v>7789.5845316180685</v>
      </c>
      <c r="H41" s="23">
        <f>IF(B41="","",XIRR(_xlfn.VSTACK(I$9:I40,K41),_xlfn.VSTACK(J$9:J40,B41)))</f>
        <v>7.3285213112831121E-2</v>
      </c>
      <c r="I41" s="29">
        <f t="shared" si="0"/>
        <v>7789.5845316180685</v>
      </c>
      <c r="J41" s="30">
        <f t="shared" si="7"/>
        <v>44228</v>
      </c>
      <c r="K41">
        <f t="shared" si="1"/>
        <v>960119.19448873133</v>
      </c>
    </row>
    <row r="42" spans="1:11" x14ac:dyDescent="0.3">
      <c r="A42" s="8">
        <f t="shared" si="2"/>
        <v>33</v>
      </c>
      <c r="B42" s="19">
        <f>_xlfn.LET(_xlpm.d,EDATE($C$3,ROW()-9),IF(_xlpm.d&gt;$C$4,"",_xlfn.XLOOKUP(_xlpm.d,'Fund Data'!$A$2:$A$1971,'Fund Data'!$A$2:$A$1971,0,-1)))</f>
        <v>44256</v>
      </c>
      <c r="C42" s="20">
        <f>IF(B42="","",_xlfn.XLOOKUP(B42,'Fund Data'!$A$2:$A$1971,'Fund Data'!$B$2:$B$1971,0,-1))</f>
        <v>393.6</v>
      </c>
      <c r="D42" s="9">
        <f t="shared" si="3"/>
        <v>20.327726848084591</v>
      </c>
      <c r="E42" s="9">
        <f t="shared" si="4"/>
        <v>2608.9112426421016</v>
      </c>
      <c r="F42" s="10">
        <f t="shared" si="5"/>
        <v>1026867.4651039313</v>
      </c>
      <c r="G42" s="6">
        <f t="shared" si="6"/>
        <v>8000.993287406096</v>
      </c>
      <c r="H42" s="23">
        <f>IF(B42="","",XIRR(_xlfn.VSTACK(I$9:I41,K42),_xlfn.VSTACK(J$9:J41,B42)))</f>
        <v>9.6993976831436179E-2</v>
      </c>
      <c r="I42" s="29">
        <f t="shared" si="0"/>
        <v>8000.993287406096</v>
      </c>
      <c r="J42" s="30">
        <f t="shared" si="7"/>
        <v>44256</v>
      </c>
      <c r="K42">
        <f t="shared" si="1"/>
        <v>1026867.4651039313</v>
      </c>
    </row>
    <row r="43" spans="1:11" x14ac:dyDescent="0.3">
      <c r="A43" s="8">
        <f t="shared" si="2"/>
        <v>34</v>
      </c>
      <c r="B43" s="19">
        <f>_xlfn.LET(_xlpm.d,EDATE($C$3,ROW()-9),IF(_xlpm.d&gt;$C$4,"",_xlfn.XLOOKUP(_xlpm.d,'Fund Data'!$A$2:$A$1971,'Fund Data'!$A$2:$A$1971,0,-1)))</f>
        <v>44287</v>
      </c>
      <c r="C43" s="20">
        <f>IF(B43="","",_xlfn.XLOOKUP(B43,'Fund Data'!$A$2:$A$1971,'Fund Data'!$B$2:$B$1971,0,-1))</f>
        <v>389.39</v>
      </c>
      <c r="D43" s="9">
        <f t="shared" si="3"/>
        <v>21.975985197016087</v>
      </c>
      <c r="E43" s="9">
        <f t="shared" si="4"/>
        <v>2586.9352574450854</v>
      </c>
      <c r="F43" s="10">
        <f t="shared" si="5"/>
        <v>1007326.7198965418</v>
      </c>
      <c r="G43" s="6">
        <f t="shared" si="6"/>
        <v>8557.2288758660943</v>
      </c>
      <c r="H43" s="23">
        <f>IF(B43="","",XIRR(_xlfn.VSTACK(I$9:I42,K43),_xlfn.VSTACK(J$9:J42,B43)))</f>
        <v>9.0621319413185131E-2</v>
      </c>
      <c r="I43" s="29">
        <f t="shared" si="0"/>
        <v>8557.2288758660943</v>
      </c>
      <c r="J43" s="30">
        <f t="shared" si="7"/>
        <v>44287</v>
      </c>
      <c r="K43">
        <f t="shared" si="1"/>
        <v>1007326.7198965418</v>
      </c>
    </row>
    <row r="44" spans="1:11" x14ac:dyDescent="0.3">
      <c r="A44" s="8">
        <f t="shared" si="2"/>
        <v>35</v>
      </c>
      <c r="B44" s="19">
        <f>_xlfn.LET(_xlpm.d,EDATE($C$3,ROW()-9),IF(_xlpm.d&gt;$C$4,"",_xlfn.XLOOKUP(_xlpm.d,'Fund Data'!$A$2:$A$1971,'Fund Data'!$A$2:$A$1971,0,-1)))</f>
        <v>44316</v>
      </c>
      <c r="C44" s="20">
        <f>IF(B44="","",_xlfn.XLOOKUP(B44,'Fund Data'!$A$2:$A$1971,'Fund Data'!$B$2:$B$1971,0,-1))</f>
        <v>386.61</v>
      </c>
      <c r="D44" s="9">
        <f t="shared" si="3"/>
        <v>21.712809633664889</v>
      </c>
      <c r="E44" s="9">
        <f t="shared" si="4"/>
        <v>2565.2224478114204</v>
      </c>
      <c r="F44" s="10">
        <f t="shared" si="5"/>
        <v>991740.65054837323</v>
      </c>
      <c r="G44" s="6">
        <f t="shared" si="6"/>
        <v>8394.3893324711826</v>
      </c>
      <c r="H44" s="23">
        <f>IF(B44="","",XIRR(_xlfn.VSTACK(I$9:I43,K44),_xlfn.VSTACK(J$9:J43,B44)))</f>
        <v>8.6176255345344552E-2</v>
      </c>
      <c r="I44" s="29">
        <f t="shared" si="0"/>
        <v>8394.3893324711826</v>
      </c>
      <c r="J44" s="30">
        <f t="shared" si="7"/>
        <v>44316</v>
      </c>
      <c r="K44">
        <f t="shared" si="1"/>
        <v>991740.65054837323</v>
      </c>
    </row>
    <row r="45" spans="1:11" x14ac:dyDescent="0.3">
      <c r="A45" s="8">
        <f t="shared" si="2"/>
        <v>36</v>
      </c>
      <c r="B45" s="19">
        <f>_xlfn.LET(_xlpm.d,EDATE($C$3,ROW()-9),IF(_xlpm.d&gt;$C$4,"",_xlfn.XLOOKUP(_xlpm.d,'Fund Data'!$A$2:$A$1971,'Fund Data'!$A$2:$A$1971,0,-1)))</f>
        <v>44348</v>
      </c>
      <c r="C45" s="20">
        <f>IF(B45="","",_xlfn.XLOOKUP(B45,'Fund Data'!$A$2:$A$1971,'Fund Data'!$B$2:$B$1971,0,-1))</f>
        <v>418.89</v>
      </c>
      <c r="D45" s="9">
        <f t="shared" si="3"/>
        <v>19.729536205773456</v>
      </c>
      <c r="E45" s="9">
        <f t="shared" si="4"/>
        <v>2545.4929116056469</v>
      </c>
      <c r="F45" s="10">
        <f t="shared" si="5"/>
        <v>1066281.5257424894</v>
      </c>
      <c r="G45" s="6">
        <f t="shared" si="6"/>
        <v>8264.505421236443</v>
      </c>
      <c r="H45" s="23">
        <f>IF(B45="","",XIRR(_xlfn.VSTACK(I$9:I44,K45),_xlfn.VSTACK(J$9:J44,B45)))</f>
        <v>0.10913502573966979</v>
      </c>
      <c r="I45" s="29">
        <f t="shared" si="0"/>
        <v>8264.505421236443</v>
      </c>
      <c r="J45" s="30">
        <f t="shared" si="7"/>
        <v>44348</v>
      </c>
      <c r="K45">
        <f t="shared" si="1"/>
        <v>1066281.5257424894</v>
      </c>
    </row>
    <row r="46" spans="1:11" x14ac:dyDescent="0.3">
      <c r="A46" s="8">
        <f t="shared" si="2"/>
        <v>37</v>
      </c>
      <c r="B46" s="19">
        <f>_xlfn.LET(_xlpm.d,EDATE($C$3,ROW()-9),IF(_xlpm.d&gt;$C$4,"",_xlfn.XLOOKUP(_xlpm.d,'Fund Data'!$A$2:$A$1971,'Fund Data'!$A$2:$A$1971,0,-1)))</f>
        <v>44378</v>
      </c>
      <c r="C46" s="20">
        <f>IF(B46="","",_xlfn.XLOOKUP(B46,'Fund Data'!$A$2:$A$1971,'Fund Data'!$B$2:$B$1971,0,-1))</f>
        <v>431.74</v>
      </c>
      <c r="D46" s="9">
        <f t="shared" si="3"/>
        <v>20.581089037817694</v>
      </c>
      <c r="E46" s="9">
        <f t="shared" si="4"/>
        <v>2524.9118225678294</v>
      </c>
      <c r="F46" s="10">
        <f t="shared" si="5"/>
        <v>1090105.4302754346</v>
      </c>
      <c r="G46" s="6">
        <f t="shared" si="6"/>
        <v>8885.6793811874122</v>
      </c>
      <c r="H46" s="23">
        <f>IF(B46="","",XIRR(_xlfn.VSTACK(I$9:I45,K46),_xlfn.VSTACK(J$9:J45,B46)))</f>
        <v>0.11570009589195251</v>
      </c>
      <c r="I46" s="29">
        <f t="shared" si="0"/>
        <v>8885.6793811874122</v>
      </c>
      <c r="J46" s="30">
        <f t="shared" si="7"/>
        <v>44378</v>
      </c>
      <c r="K46">
        <f t="shared" si="1"/>
        <v>1090105.4302754346</v>
      </c>
    </row>
    <row r="47" spans="1:11" x14ac:dyDescent="0.3">
      <c r="A47" s="8">
        <f t="shared" si="2"/>
        <v>38</v>
      </c>
      <c r="B47" s="19">
        <f>_xlfn.LET(_xlpm.d,EDATE($C$3,ROW()-9),IF(_xlpm.d&gt;$C$4,"",_xlfn.XLOOKUP(_xlpm.d,'Fund Data'!$A$2:$A$1971,'Fund Data'!$A$2:$A$1971,0,-1)))</f>
        <v>44407</v>
      </c>
      <c r="C47" s="20">
        <f>IF(B47="","",_xlfn.XLOOKUP(B47,'Fund Data'!$A$2:$A$1971,'Fund Data'!$B$2:$B$1971,0,-1))</f>
        <v>454.6</v>
      </c>
      <c r="D47" s="9">
        <f t="shared" si="3"/>
        <v>19.982868277522996</v>
      </c>
      <c r="E47" s="9">
        <f t="shared" si="4"/>
        <v>2504.9289542903066</v>
      </c>
      <c r="F47" s="10">
        <f t="shared" si="5"/>
        <v>1138740.7026203733</v>
      </c>
      <c r="G47" s="6">
        <f t="shared" si="6"/>
        <v>9084.2119189619552</v>
      </c>
      <c r="H47" s="23">
        <f>IF(B47="","",XIRR(_xlfn.VSTACK(I$9:I46,K47),_xlfn.VSTACK(J$9:J46,B47)))</f>
        <v>0.12871571183204653</v>
      </c>
      <c r="I47" s="29">
        <f t="shared" si="0"/>
        <v>9084.2119189619552</v>
      </c>
      <c r="J47" s="30">
        <f t="shared" si="7"/>
        <v>44407</v>
      </c>
      <c r="K47">
        <f t="shared" si="1"/>
        <v>1138740.7026203733</v>
      </c>
    </row>
    <row r="48" spans="1:11" x14ac:dyDescent="0.3">
      <c r="A48" s="8">
        <f t="shared" si="2"/>
        <v>39</v>
      </c>
      <c r="B48" s="19">
        <f>_xlfn.LET(_xlpm.d,EDATE($C$3,ROW()-9),IF(_xlpm.d&gt;$C$4,"",_xlfn.XLOOKUP(_xlpm.d,'Fund Data'!$A$2:$A$1971,'Fund Data'!$A$2:$A$1971,0,-1)))</f>
        <v>44440</v>
      </c>
      <c r="C48" s="20">
        <f>IF(B48="","",_xlfn.XLOOKUP(B48,'Fund Data'!$A$2:$A$1971,'Fund Data'!$B$2:$B$1971,0,-1))</f>
        <v>466.83</v>
      </c>
      <c r="D48" s="9">
        <f t="shared" si="3"/>
        <v>20.327540764667607</v>
      </c>
      <c r="E48" s="9">
        <f t="shared" si="4"/>
        <v>2484.6014135256391</v>
      </c>
      <c r="F48" s="10">
        <f t="shared" si="5"/>
        <v>1159886.477876174</v>
      </c>
      <c r="G48" s="6">
        <f t="shared" si="6"/>
        <v>9489.5058551697784</v>
      </c>
      <c r="H48" s="23">
        <f>IF(B48="","",XIRR(_xlfn.VSTACK(I$9:I47,K48),_xlfn.VSTACK(J$9:J47,B48)))</f>
        <v>0.1332817256450653</v>
      </c>
      <c r="I48" s="29">
        <f t="shared" si="0"/>
        <v>9489.5058551697784</v>
      </c>
      <c r="J48" s="30">
        <f t="shared" si="7"/>
        <v>44440</v>
      </c>
      <c r="K48">
        <f t="shared" si="1"/>
        <v>1159886.477876174</v>
      </c>
    </row>
    <row r="49" spans="1:11" x14ac:dyDescent="0.3">
      <c r="A49" s="8">
        <f t="shared" si="2"/>
        <v>40</v>
      </c>
      <c r="B49" s="19">
        <f>_xlfn.LET(_xlpm.d,EDATE($C$3,ROW()-9),IF(_xlpm.d&gt;$C$4,"",_xlfn.XLOOKUP(_xlpm.d,'Fund Data'!$A$2:$A$1971,'Fund Data'!$A$2:$A$1971,0,-1)))</f>
        <v>44470</v>
      </c>
      <c r="C49" s="20">
        <f>IF(B49="","",_xlfn.XLOOKUP(B49,'Fund Data'!$A$2:$A$1971,'Fund Data'!$B$2:$B$1971,0,-1))</f>
        <v>478.59</v>
      </c>
      <c r="D49" s="9">
        <f t="shared" si="3"/>
        <v>20.196244486863741</v>
      </c>
      <c r="E49" s="9">
        <f t="shared" si="4"/>
        <v>2464.4051690387755</v>
      </c>
      <c r="F49" s="10">
        <f t="shared" si="5"/>
        <v>1179439.6698502675</v>
      </c>
      <c r="G49" s="6">
        <f t="shared" si="6"/>
        <v>9665.7206489681175</v>
      </c>
      <c r="H49" s="23">
        <f>IF(B49="","",XIRR(_xlfn.VSTACK(I$9:I48,K49),_xlfn.VSTACK(J$9:J48,B49)))</f>
        <v>0.13750481009483337</v>
      </c>
      <c r="I49" s="29">
        <f t="shared" si="0"/>
        <v>9665.7206489681175</v>
      </c>
      <c r="J49" s="30">
        <f t="shared" si="7"/>
        <v>44470</v>
      </c>
      <c r="K49">
        <f t="shared" si="1"/>
        <v>1179439.6698502675</v>
      </c>
    </row>
    <row r="50" spans="1:11" x14ac:dyDescent="0.3">
      <c r="A50" s="8">
        <f t="shared" si="2"/>
        <v>41</v>
      </c>
      <c r="B50" s="19">
        <f>_xlfn.LET(_xlpm.d,EDATE($C$3,ROW()-9),IF(_xlpm.d&gt;$C$4,"",_xlfn.XLOOKUP(_xlpm.d,'Fund Data'!$A$2:$A$1971,'Fund Data'!$A$2:$A$1971,0,-1)))</f>
        <v>44501</v>
      </c>
      <c r="C50" s="20">
        <f>IF(B50="","",_xlfn.XLOOKUP(B50,'Fund Data'!$A$2:$A$1971,'Fund Data'!$B$2:$B$1971,0,-1))</f>
        <v>495.13</v>
      </c>
      <c r="D50" s="9">
        <f t="shared" si="3"/>
        <v>19.850673389653014</v>
      </c>
      <c r="E50" s="9">
        <f t="shared" si="4"/>
        <v>2444.5544956491226</v>
      </c>
      <c r="F50" s="10">
        <f t="shared" si="5"/>
        <v>1210372.26743075</v>
      </c>
      <c r="G50" s="6">
        <f t="shared" si="6"/>
        <v>9828.6639154188961</v>
      </c>
      <c r="H50" s="23">
        <f>IF(B50="","",XIRR(_xlfn.VSTACK(I$9:I49,K50),_xlfn.VSTACK(J$9:J49,B50)))</f>
        <v>0.14403437972068786</v>
      </c>
      <c r="I50" s="29">
        <f t="shared" si="0"/>
        <v>9828.6639154188961</v>
      </c>
      <c r="J50" s="30">
        <f t="shared" si="7"/>
        <v>44501</v>
      </c>
      <c r="K50">
        <f t="shared" si="1"/>
        <v>1210372.26743075</v>
      </c>
    </row>
    <row r="51" spans="1:11" x14ac:dyDescent="0.3">
      <c r="A51" s="8">
        <f t="shared" si="2"/>
        <v>42</v>
      </c>
      <c r="B51" s="19">
        <f>_xlfn.LET(_xlpm.d,EDATE($C$3,ROW()-9),IF(_xlpm.d&gt;$C$4,"",_xlfn.XLOOKUP(_xlpm.d,'Fund Data'!$A$2:$A$1971,'Fund Data'!$A$2:$A$1971,0,-1)))</f>
        <v>44531</v>
      </c>
      <c r="C51" s="20">
        <f>IF(B51="","",_xlfn.XLOOKUP(B51,'Fund Data'!$A$2:$A$1971,'Fund Data'!$B$2:$B$1971,0,-1))</f>
        <v>473.87</v>
      </c>
      <c r="D51" s="9">
        <f t="shared" si="3"/>
        <v>21.285237643072819</v>
      </c>
      <c r="E51" s="9">
        <f t="shared" si="4"/>
        <v>2423.2692580060498</v>
      </c>
      <c r="F51" s="10">
        <f t="shared" si="5"/>
        <v>1148314.6032913269</v>
      </c>
      <c r="G51" s="6">
        <f t="shared" si="6"/>
        <v>10086.435561922917</v>
      </c>
      <c r="H51" s="23">
        <f>IF(B51="","",XIRR(_xlfn.VSTACK(I$9:I50,K51),_xlfn.VSTACK(J$9:J50,B51)))</f>
        <v>0.12890198826789856</v>
      </c>
      <c r="I51" s="29">
        <f t="shared" si="0"/>
        <v>10086.435561922917</v>
      </c>
      <c r="J51" s="30">
        <f t="shared" si="7"/>
        <v>44531</v>
      </c>
      <c r="K51">
        <f t="shared" si="1"/>
        <v>1148314.6032913269</v>
      </c>
    </row>
    <row r="52" spans="1:11" x14ac:dyDescent="0.3">
      <c r="A52" s="8">
        <f t="shared" si="2"/>
        <v>43</v>
      </c>
      <c r="B52" s="19">
        <f>_xlfn.LET(_xlpm.d,EDATE($C$3,ROW()-9),IF(_xlpm.d&gt;$C$4,"",_xlfn.XLOOKUP(_xlpm.d,'Fund Data'!$A$2:$A$1971,'Fund Data'!$A$2:$A$1971,0,-1)))</f>
        <v>44561</v>
      </c>
      <c r="C52" s="20">
        <f>IF(B52="","",_xlfn.XLOOKUP(B52,'Fund Data'!$A$2:$A$1971,'Fund Data'!$B$2:$B$1971,0,-1))</f>
        <v>482.92</v>
      </c>
      <c r="D52" s="9">
        <f t="shared" si="3"/>
        <v>19.815473289076987</v>
      </c>
      <c r="E52" s="9">
        <f t="shared" si="4"/>
        <v>2403.4537847169727</v>
      </c>
      <c r="F52" s="10">
        <f t="shared" si="5"/>
        <v>1160675.9017155205</v>
      </c>
      <c r="G52" s="6">
        <f t="shared" si="6"/>
        <v>9569.2883607610584</v>
      </c>
      <c r="H52" s="23">
        <f>IF(B52="","",XIRR(_xlfn.VSTACK(I$9:I51,K52),_xlfn.VSTACK(J$9:J51,B52)))</f>
        <v>0.13141605257987979</v>
      </c>
      <c r="I52" s="29">
        <f t="shared" si="0"/>
        <v>9569.2883607610584</v>
      </c>
      <c r="J52" s="30">
        <f t="shared" si="7"/>
        <v>44561</v>
      </c>
      <c r="K52">
        <f t="shared" si="1"/>
        <v>1160675.9017155205</v>
      </c>
    </row>
    <row r="53" spans="1:11" x14ac:dyDescent="0.3">
      <c r="A53" s="8">
        <f t="shared" si="2"/>
        <v>44</v>
      </c>
      <c r="B53" s="19">
        <f>_xlfn.LET(_xlpm.d,EDATE($C$3,ROW()-9),IF(_xlpm.d&gt;$C$4,"",_xlfn.XLOOKUP(_xlpm.d,'Fund Data'!$A$2:$A$1971,'Fund Data'!$A$2:$A$1971,0,-1)))</f>
        <v>44593</v>
      </c>
      <c r="C53" s="20">
        <f>IF(B53="","",_xlfn.XLOOKUP(B53,'Fund Data'!$A$2:$A$1971,'Fund Data'!$B$2:$B$1971,0,-1))</f>
        <v>489.84</v>
      </c>
      <c r="D53" s="9">
        <f t="shared" si="3"/>
        <v>19.745833702765538</v>
      </c>
      <c r="E53" s="9">
        <f t="shared" si="4"/>
        <v>2383.7079510142071</v>
      </c>
      <c r="F53" s="10">
        <f t="shared" si="5"/>
        <v>1167635.5027247991</v>
      </c>
      <c r="G53" s="6">
        <f t="shared" si="6"/>
        <v>9672.299180962671</v>
      </c>
      <c r="H53" s="23">
        <f>IF(B53="","",XIRR(_xlfn.VSTACK(I$9:I52,K53),_xlfn.VSTACK(J$9:J52,B53)))</f>
        <v>0.13229497075080873</v>
      </c>
      <c r="I53" s="29">
        <f t="shared" si="0"/>
        <v>9672.299180962671</v>
      </c>
      <c r="J53" s="30">
        <f t="shared" si="7"/>
        <v>44593</v>
      </c>
      <c r="K53">
        <f t="shared" si="1"/>
        <v>1167635.5027247991</v>
      </c>
    </row>
    <row r="54" spans="1:11" x14ac:dyDescent="0.3">
      <c r="A54" s="8">
        <f t="shared" si="2"/>
        <v>45</v>
      </c>
      <c r="B54" s="19">
        <f>_xlfn.LET(_xlpm.d,EDATE($C$3,ROW()-9),IF(_xlpm.d&gt;$C$4,"",_xlfn.XLOOKUP(_xlpm.d,'Fund Data'!$A$2:$A$1971,'Fund Data'!$A$2:$A$1971,0,-1)))</f>
        <v>44620</v>
      </c>
      <c r="C54" s="20">
        <f>IF(B54="","",_xlfn.XLOOKUP(B54,'Fund Data'!$A$2:$A$1971,'Fund Data'!$B$2:$B$1971,0,-1))</f>
        <v>459.8</v>
      </c>
      <c r="D54" s="9">
        <f t="shared" si="3"/>
        <v>21.162017955719861</v>
      </c>
      <c r="E54" s="9">
        <f t="shared" si="4"/>
        <v>2362.5459330584872</v>
      </c>
      <c r="F54" s="10">
        <f t="shared" si="5"/>
        <v>1086298.6200202925</v>
      </c>
      <c r="G54" s="6">
        <f t="shared" si="6"/>
        <v>9730.2958560399929</v>
      </c>
      <c r="H54" s="23">
        <f>IF(B54="","",XIRR(_xlfn.VSTACK(I$9:I53,K54),_xlfn.VSTACK(J$9:J53,B54)))</f>
        <v>0.11424826979637145</v>
      </c>
      <c r="I54" s="29">
        <f t="shared" si="0"/>
        <v>9730.2958560399929</v>
      </c>
      <c r="J54" s="30">
        <f t="shared" si="7"/>
        <v>44620</v>
      </c>
      <c r="K54">
        <f t="shared" si="1"/>
        <v>1086298.6200202925</v>
      </c>
    </row>
    <row r="55" spans="1:11" x14ac:dyDescent="0.3">
      <c r="A55" s="8">
        <f t="shared" si="2"/>
        <v>46</v>
      </c>
      <c r="B55" s="19">
        <f>_xlfn.LET(_xlpm.d,EDATE($C$3,ROW()-9),IF(_xlpm.d&gt;$C$4,"",_xlfn.XLOOKUP(_xlpm.d,'Fund Data'!$A$2:$A$1971,'Fund Data'!$A$2:$A$1971,0,-1)))</f>
        <v>44652</v>
      </c>
      <c r="C55" s="20">
        <f>IF(B55="","",_xlfn.XLOOKUP(B55,'Fund Data'!$A$2:$A$1971,'Fund Data'!$B$2:$B$1971,0,-1))</f>
        <v>482.16</v>
      </c>
      <c r="D55" s="9">
        <f t="shared" si="3"/>
        <v>18.774864153328988</v>
      </c>
      <c r="E55" s="9">
        <f t="shared" si="4"/>
        <v>2343.7710689051582</v>
      </c>
      <c r="F55" s="10">
        <f t="shared" si="5"/>
        <v>1130072.6585833111</v>
      </c>
      <c r="G55" s="6">
        <f t="shared" si="6"/>
        <v>9052.4885001691055</v>
      </c>
      <c r="H55" s="23">
        <f>IF(B55="","",XIRR(_xlfn.VSTACK(I$9:I54,K55),_xlfn.VSTACK(J$9:J54,B55)))</f>
        <v>0.1235662043094635</v>
      </c>
      <c r="I55" s="29">
        <f t="shared" si="0"/>
        <v>9052.4885001691055</v>
      </c>
      <c r="J55" s="30">
        <f t="shared" si="7"/>
        <v>44652</v>
      </c>
      <c r="K55">
        <f t="shared" si="1"/>
        <v>1130072.6585833111</v>
      </c>
    </row>
    <row r="56" spans="1:11" x14ac:dyDescent="0.3">
      <c r="A56" s="8">
        <f t="shared" si="2"/>
        <v>47</v>
      </c>
      <c r="B56" s="19">
        <f>_xlfn.LET(_xlpm.d,EDATE($C$3,ROW()-9),IF(_xlpm.d&gt;$C$4,"",_xlfn.XLOOKUP(_xlpm.d,'Fund Data'!$A$2:$A$1971,'Fund Data'!$A$2:$A$1971,0,-1)))</f>
        <v>44680</v>
      </c>
      <c r="C56" s="20">
        <f>IF(B56="","",_xlfn.XLOOKUP(B56,'Fund Data'!$A$2:$A$1971,'Fund Data'!$B$2:$B$1971,0,-1))</f>
        <v>475.63</v>
      </c>
      <c r="D56" s="9">
        <f t="shared" si="3"/>
        <v>19.799575625719417</v>
      </c>
      <c r="E56" s="9">
        <f t="shared" si="4"/>
        <v>2323.9714932794386</v>
      </c>
      <c r="F56" s="10">
        <f t="shared" si="5"/>
        <v>1105350.5613484993</v>
      </c>
      <c r="G56" s="6">
        <f t="shared" si="6"/>
        <v>9417.2721548609261</v>
      </c>
      <c r="H56" s="23">
        <f>IF(B56="","",XIRR(_xlfn.VSTACK(I$9:I55,K56),_xlfn.VSTACK(J$9:J55,B56)))</f>
        <v>0.11818739771842957</v>
      </c>
      <c r="I56" s="29">
        <f t="shared" si="0"/>
        <v>9417.2721548609261</v>
      </c>
      <c r="J56" s="30">
        <f t="shared" si="7"/>
        <v>44680</v>
      </c>
      <c r="K56">
        <f t="shared" si="1"/>
        <v>1105350.5613484993</v>
      </c>
    </row>
    <row r="57" spans="1:11" x14ac:dyDescent="0.3">
      <c r="A57" s="8">
        <f t="shared" si="2"/>
        <v>48</v>
      </c>
      <c r="B57" s="19">
        <f>_xlfn.LET(_xlpm.d,EDATE($C$3,ROW()-9),IF(_xlpm.d&gt;$C$4,"",_xlfn.XLOOKUP(_xlpm.d,'Fund Data'!$A$2:$A$1971,'Fund Data'!$A$2:$A$1971,0,-1)))</f>
        <v>44713</v>
      </c>
      <c r="C57" s="20">
        <f>IF(B57="","",_xlfn.XLOOKUP(B57,'Fund Data'!$A$2:$A$1971,'Fund Data'!$B$2:$B$1971,0,-1))</f>
        <v>454.43</v>
      </c>
      <c r="D57" s="9">
        <f t="shared" si="3"/>
        <v>20.269908848236604</v>
      </c>
      <c r="E57" s="9">
        <f t="shared" si="4"/>
        <v>2303.7015844312018</v>
      </c>
      <c r="F57" s="10">
        <f t="shared" si="5"/>
        <v>1046871.111013071</v>
      </c>
      <c r="G57" s="6">
        <f t="shared" si="6"/>
        <v>9211.2546779041604</v>
      </c>
      <c r="H57" s="23">
        <f>IF(B57="","",XIRR(_xlfn.VSTACK(I$9:I56,K57),_xlfn.VSTACK(J$9:J56,B57)))</f>
        <v>0.10563406348228457</v>
      </c>
      <c r="I57" s="29">
        <f t="shared" si="0"/>
        <v>9211.2546779041604</v>
      </c>
      <c r="J57" s="30">
        <f t="shared" si="7"/>
        <v>44713</v>
      </c>
      <c r="K57">
        <f t="shared" si="1"/>
        <v>1046871.111013071</v>
      </c>
    </row>
    <row r="58" spans="1:11" x14ac:dyDescent="0.3">
      <c r="A58" s="8">
        <f t="shared" si="2"/>
        <v>49</v>
      </c>
      <c r="B58" s="19">
        <f>_xlfn.LET(_xlpm.d,EDATE($C$3,ROW()-9),IF(_xlpm.d&gt;$C$4,"",_xlfn.XLOOKUP(_xlpm.d,'Fund Data'!$A$2:$A$1971,'Fund Data'!$A$2:$A$1971,0,-1)))</f>
        <v>44743</v>
      </c>
      <c r="C58" s="20">
        <f>IF(B58="","",_xlfn.XLOOKUP(B58,'Fund Data'!$A$2:$A$1971,'Fund Data'!$B$2:$B$1971,0,-1))</f>
        <v>441.02</v>
      </c>
      <c r="D58" s="9">
        <f t="shared" si="3"/>
        <v>19.781247846149668</v>
      </c>
      <c r="E58" s="9">
        <f t="shared" si="4"/>
        <v>2283.9203365850522</v>
      </c>
      <c r="F58" s="10">
        <f t="shared" si="5"/>
        <v>1007254.5468407397</v>
      </c>
      <c r="G58" s="6">
        <f t="shared" si="6"/>
        <v>8723.9259251089261</v>
      </c>
      <c r="H58" s="23">
        <f>IF(B58="","",XIRR(_xlfn.VSTACK(I$9:I57,K58),_xlfn.VSTACK(J$9:J57,B58)))</f>
        <v>9.7440677881240834E-2</v>
      </c>
      <c r="I58" s="29">
        <f t="shared" si="0"/>
        <v>8723.9259251089261</v>
      </c>
      <c r="J58" s="30">
        <f t="shared" si="7"/>
        <v>44743</v>
      </c>
      <c r="K58">
        <f t="shared" si="1"/>
        <v>1007254.5468407397</v>
      </c>
    </row>
    <row r="59" spans="1:11" x14ac:dyDescent="0.3">
      <c r="A59" s="8">
        <f t="shared" si="2"/>
        <v>50</v>
      </c>
      <c r="B59" s="19">
        <f>_xlfn.LET(_xlpm.d,EDATE($C$3,ROW()-9),IF(_xlpm.d&gt;$C$4,"",_xlfn.XLOOKUP(_xlpm.d,'Fund Data'!$A$2:$A$1971,'Fund Data'!$A$2:$A$1971,0,-1)))</f>
        <v>44774</v>
      </c>
      <c r="C59" s="20">
        <f>IF(B59="","",_xlfn.XLOOKUP(B59,'Fund Data'!$A$2:$A$1971,'Fund Data'!$B$2:$B$1971,0,-1))</f>
        <v>485.43</v>
      </c>
      <c r="D59" s="9">
        <f t="shared" si="3"/>
        <v>17.291448592669379</v>
      </c>
      <c r="E59" s="9">
        <f t="shared" si="4"/>
        <v>2266.6288879923827</v>
      </c>
      <c r="F59" s="10">
        <f t="shared" si="5"/>
        <v>1100289.6610981424</v>
      </c>
      <c r="G59" s="6">
        <f t="shared" si="6"/>
        <v>8393.7878903394976</v>
      </c>
      <c r="H59" s="23">
        <f>IF(B59="","",XIRR(_xlfn.VSTACK(I$9:I58,K59),_xlfn.VSTACK(J$9:J58,B59)))</f>
        <v>0.11634710431098938</v>
      </c>
      <c r="I59" s="29">
        <f t="shared" si="0"/>
        <v>8393.7878903394976</v>
      </c>
      <c r="J59" s="30">
        <f t="shared" si="7"/>
        <v>44774</v>
      </c>
      <c r="K59">
        <f t="shared" si="1"/>
        <v>1100289.6610981424</v>
      </c>
    </row>
    <row r="60" spans="1:11" x14ac:dyDescent="0.3">
      <c r="A60" s="8">
        <f t="shared" si="2"/>
        <v>51</v>
      </c>
      <c r="B60" s="19">
        <f>_xlfn.LET(_xlpm.d,EDATE($C$3,ROW()-9),IF(_xlpm.d&gt;$C$4,"",_xlfn.XLOOKUP(_xlpm.d,'Fund Data'!$A$2:$A$1971,'Fund Data'!$A$2:$A$1971,0,-1)))</f>
        <v>44805</v>
      </c>
      <c r="C60" s="20">
        <f>IF(B60="","",_xlfn.XLOOKUP(B60,'Fund Data'!$A$2:$A$1971,'Fund Data'!$B$2:$B$1971,0,-1))</f>
        <v>495.7</v>
      </c>
      <c r="D60" s="9">
        <f t="shared" si="3"/>
        <v>18.497237258727431</v>
      </c>
      <c r="E60" s="9">
        <f t="shared" si="4"/>
        <v>2248.1316507336551</v>
      </c>
      <c r="F60" s="10">
        <f t="shared" si="5"/>
        <v>1114398.8592686728</v>
      </c>
      <c r="G60" s="6">
        <f t="shared" si="6"/>
        <v>9169.0805091511866</v>
      </c>
      <c r="H60" s="23">
        <f>IF(B60="","",XIRR(_xlfn.VSTACK(I$9:I59,K60),_xlfn.VSTACK(J$9:J59,B60)))</f>
        <v>0.11867324709892271</v>
      </c>
      <c r="I60" s="29">
        <f t="shared" si="0"/>
        <v>9169.0805091511866</v>
      </c>
      <c r="J60" s="30">
        <f t="shared" si="7"/>
        <v>44805</v>
      </c>
      <c r="K60">
        <f t="shared" si="1"/>
        <v>1114398.8592686728</v>
      </c>
    </row>
    <row r="61" spans="1:11" x14ac:dyDescent="0.3">
      <c r="A61" s="8">
        <f t="shared" si="2"/>
        <v>52</v>
      </c>
      <c r="B61" s="19">
        <f>_xlfn.LET(_xlpm.d,EDATE($C$3,ROW()-9),IF(_xlpm.d&gt;$C$4,"",_xlfn.XLOOKUP(_xlpm.d,'Fund Data'!$A$2:$A$1971,'Fund Data'!$A$2:$A$1971,0,-1)))</f>
        <v>44834</v>
      </c>
      <c r="C61" s="20">
        <f>IF(B61="","",_xlfn.XLOOKUP(B61,'Fund Data'!$A$2:$A$1971,'Fund Data'!$B$2:$B$1971,0,-1))</f>
        <v>491.28</v>
      </c>
      <c r="D61" s="9">
        <f t="shared" si="3"/>
        <v>18.902982333032636</v>
      </c>
      <c r="E61" s="9">
        <f t="shared" si="4"/>
        <v>2229.2286684006226</v>
      </c>
      <c r="F61" s="10">
        <f t="shared" si="5"/>
        <v>1095175.4602118579</v>
      </c>
      <c r="G61" s="6">
        <f t="shared" si="6"/>
        <v>9286.6571605722729</v>
      </c>
      <c r="H61" s="23">
        <f>IF(B61="","",XIRR(_xlfn.VSTACK(I$9:I60,K61),_xlfn.VSTACK(J$9:J60,B61)))</f>
        <v>0.11496494412422184</v>
      </c>
      <c r="I61" s="29">
        <f t="shared" si="0"/>
        <v>9286.6571605722729</v>
      </c>
      <c r="J61" s="30">
        <f t="shared" si="7"/>
        <v>44834</v>
      </c>
      <c r="K61">
        <f t="shared" si="1"/>
        <v>1095175.4602118579</v>
      </c>
    </row>
    <row r="62" spans="1:11" x14ac:dyDescent="0.3">
      <c r="A62" s="8">
        <f t="shared" si="2"/>
        <v>53</v>
      </c>
      <c r="B62" s="19">
        <f>_xlfn.LET(_xlpm.d,EDATE($C$3,ROW()-9),IF(_xlpm.d&gt;$C$4,"",_xlfn.XLOOKUP(_xlpm.d,'Fund Data'!$A$2:$A$1971,'Fund Data'!$A$2:$A$1971,0,-1)))</f>
        <v>44866</v>
      </c>
      <c r="C62" s="20">
        <f>IF(B62="","",_xlfn.XLOOKUP(B62,'Fund Data'!$A$2:$A$1971,'Fund Data'!$B$2:$B$1971,0,-1))</f>
        <v>511.58</v>
      </c>
      <c r="D62" s="9">
        <f t="shared" si="3"/>
        <v>17.839755597232397</v>
      </c>
      <c r="E62" s="9">
        <f t="shared" si="4"/>
        <v>2211.3889128033902</v>
      </c>
      <c r="F62" s="10">
        <f t="shared" si="5"/>
        <v>1131302.3400119583</v>
      </c>
      <c r="G62" s="6">
        <f t="shared" si="6"/>
        <v>9126.4621684321501</v>
      </c>
      <c r="H62" s="23">
        <f>IF(B62="","",XIRR(_xlfn.VSTACK(I$9:I61,K62),_xlfn.VSTACK(J$9:J61,B62)))</f>
        <v>0.12128044962882994</v>
      </c>
      <c r="I62" s="29">
        <f t="shared" si="0"/>
        <v>9126.4621684321501</v>
      </c>
      <c r="J62" s="30">
        <f t="shared" si="7"/>
        <v>44866</v>
      </c>
      <c r="K62">
        <f t="shared" si="1"/>
        <v>1131302.3400119583</v>
      </c>
    </row>
    <row r="63" spans="1:11" x14ac:dyDescent="0.3">
      <c r="A63" s="8">
        <f t="shared" si="2"/>
        <v>54</v>
      </c>
      <c r="B63" s="19">
        <f>_xlfn.LET(_xlpm.d,EDATE($C$3,ROW()-9),IF(_xlpm.d&gt;$C$4,"",_xlfn.XLOOKUP(_xlpm.d,'Fund Data'!$A$2:$A$1971,'Fund Data'!$A$2:$A$1971,0,-1)))</f>
        <v>44896</v>
      </c>
      <c r="C63" s="20">
        <f>IF(B63="","",_xlfn.XLOOKUP(B63,'Fund Data'!$A$2:$A$1971,'Fund Data'!$B$2:$B$1971,0,-1))</f>
        <v>526.48</v>
      </c>
      <c r="D63" s="9">
        <f t="shared" si="3"/>
        <v>17.906700159739501</v>
      </c>
      <c r="E63" s="9">
        <f t="shared" si="4"/>
        <v>2193.4822126436507</v>
      </c>
      <c r="F63" s="10">
        <f t="shared" si="5"/>
        <v>1154824.5153126293</v>
      </c>
      <c r="G63" s="6">
        <f t="shared" si="6"/>
        <v>9427.5195000996519</v>
      </c>
      <c r="H63" s="23">
        <f>IF(B63="","",XIRR(_xlfn.VSTACK(I$9:I62,K63),_xlfn.VSTACK(J$9:J62,B63)))</f>
        <v>0.12509612441062926</v>
      </c>
      <c r="I63" s="29">
        <f t="shared" si="0"/>
        <v>9427.5195000996519</v>
      </c>
      <c r="J63" s="30">
        <f t="shared" si="7"/>
        <v>44896</v>
      </c>
      <c r="K63">
        <f t="shared" si="1"/>
        <v>1154824.5153126293</v>
      </c>
    </row>
    <row r="64" spans="1:11" x14ac:dyDescent="0.3">
      <c r="A64" s="8">
        <f t="shared" si="2"/>
        <v>55</v>
      </c>
      <c r="B64" s="19">
        <f>_xlfn.LET(_xlpm.d,EDATE($C$3,ROW()-9),IF(_xlpm.d&gt;$C$4,"",_xlfn.XLOOKUP(_xlpm.d,'Fund Data'!$A$2:$A$1971,'Fund Data'!$A$2:$A$1971,0,-1)))</f>
        <v>44925</v>
      </c>
      <c r="C64" s="20">
        <f>IF(B64="","",_xlfn.XLOOKUP(B64,'Fund Data'!$A$2:$A$1971,'Fund Data'!$B$2:$B$1971,0,-1))</f>
        <v>510</v>
      </c>
      <c r="D64" s="9">
        <f t="shared" si="3"/>
        <v>18.869681622755383</v>
      </c>
      <c r="E64" s="9">
        <f t="shared" si="4"/>
        <v>2174.6125310208954</v>
      </c>
      <c r="F64" s="10">
        <f t="shared" si="5"/>
        <v>1109052.3908206567</v>
      </c>
      <c r="G64" s="6">
        <f t="shared" si="6"/>
        <v>9623.5376276052448</v>
      </c>
      <c r="H64" s="23">
        <f>IF(B64="","",XIRR(_xlfn.VSTACK(I$9:I63,K64),_xlfn.VSTACK(J$9:J63,B64)))</f>
        <v>0.11706439852714537</v>
      </c>
      <c r="I64" s="29">
        <f t="shared" si="0"/>
        <v>9623.5376276052448</v>
      </c>
      <c r="J64" s="30">
        <f t="shared" si="7"/>
        <v>44925</v>
      </c>
      <c r="K64">
        <f t="shared" si="1"/>
        <v>1109052.3908206567</v>
      </c>
    </row>
    <row r="65" spans="1:11" x14ac:dyDescent="0.3">
      <c r="A65" s="8">
        <f t="shared" si="2"/>
        <v>56</v>
      </c>
      <c r="B65" s="19">
        <f>_xlfn.LET(_xlpm.d,EDATE($C$3,ROW()-9),IF(_xlpm.d&gt;$C$4,"",_xlfn.XLOOKUP(_xlpm.d,'Fund Data'!$A$2:$A$1971,'Fund Data'!$A$2:$A$1971,0,-1)))</f>
        <v>44958</v>
      </c>
      <c r="C65" s="20">
        <f>IF(B65="","",_xlfn.XLOOKUP(B65,'Fund Data'!$A$2:$A$1971,'Fund Data'!$B$2:$B$1971,0,-1))</f>
        <v>499.75</v>
      </c>
      <c r="D65" s="9">
        <f t="shared" si="3"/>
        <v>18.493453240297761</v>
      </c>
      <c r="E65" s="9">
        <f t="shared" si="4"/>
        <v>2156.1190777805978</v>
      </c>
      <c r="F65" s="10">
        <f t="shared" si="5"/>
        <v>1077520.5091208536</v>
      </c>
      <c r="G65" s="6">
        <f t="shared" si="6"/>
        <v>9242.1032568388055</v>
      </c>
      <c r="H65" s="23">
        <f>IF(B65="","",XIRR(_xlfn.VSTACK(I$9:I64,K65),_xlfn.VSTACK(J$9:J64,B65)))</f>
        <v>0.11144883036613462</v>
      </c>
      <c r="I65" s="29">
        <f t="shared" si="0"/>
        <v>9242.1032568388055</v>
      </c>
      <c r="J65" s="30">
        <f t="shared" si="7"/>
        <v>44958</v>
      </c>
      <c r="K65">
        <f t="shared" si="1"/>
        <v>1077520.5091208536</v>
      </c>
    </row>
    <row r="66" spans="1:11" x14ac:dyDescent="0.3">
      <c r="A66" s="8">
        <f t="shared" si="2"/>
        <v>57</v>
      </c>
      <c r="B66" s="19">
        <f>_xlfn.LET(_xlpm.d,EDATE($C$3,ROW()-9),IF(_xlpm.d&gt;$C$4,"",_xlfn.XLOOKUP(_xlpm.d,'Fund Data'!$A$2:$A$1971,'Fund Data'!$A$2:$A$1971,0,-1)))</f>
        <v>44986</v>
      </c>
      <c r="C66" s="20">
        <f>IF(B66="","",_xlfn.XLOOKUP(B66,'Fund Data'!$A$2:$A$1971,'Fund Data'!$B$2:$B$1971,0,-1))</f>
        <v>502.09</v>
      </c>
      <c r="D66" s="9">
        <f t="shared" si="3"/>
        <v>17.883920364888994</v>
      </c>
      <c r="E66" s="9">
        <f t="shared" si="4"/>
        <v>2138.2351574157087</v>
      </c>
      <c r="F66" s="10">
        <f t="shared" si="5"/>
        <v>1073586.4901868531</v>
      </c>
      <c r="G66" s="6">
        <f t="shared" si="6"/>
        <v>8979.337576007114</v>
      </c>
      <c r="H66" s="23">
        <f>IF(B66="","",XIRR(_xlfn.VSTACK(I$9:I65,K66),_xlfn.VSTACK(J$9:J65,B66)))</f>
        <v>0.11087735295295714</v>
      </c>
      <c r="I66" s="29">
        <f t="shared" si="0"/>
        <v>8979.337576007114</v>
      </c>
      <c r="J66" s="30">
        <f t="shared" si="7"/>
        <v>44986</v>
      </c>
      <c r="K66">
        <f t="shared" si="1"/>
        <v>1073586.4901868531</v>
      </c>
    </row>
    <row r="67" spans="1:11" x14ac:dyDescent="0.3">
      <c r="A67" s="8">
        <f t="shared" si="2"/>
        <v>58</v>
      </c>
      <c r="B67" s="19">
        <f>_xlfn.LET(_xlpm.d,EDATE($C$3,ROW()-9),IF(_xlpm.d&gt;$C$4,"",_xlfn.XLOOKUP(_xlpm.d,'Fund Data'!$A$2:$A$1971,'Fund Data'!$A$2:$A$1971,0,-1)))</f>
        <v>45016</v>
      </c>
      <c r="C67" s="20">
        <f>IF(B67="","",_xlfn.XLOOKUP(B67,'Fund Data'!$A$2:$A$1971,'Fund Data'!$B$2:$B$1971,0,-1))</f>
        <v>497.61</v>
      </c>
      <c r="D67" s="9">
        <f t="shared" si="3"/>
        <v>17.979048019313204</v>
      </c>
      <c r="E67" s="9">
        <f t="shared" si="4"/>
        <v>2120.2561093963955</v>
      </c>
      <c r="F67" s="10">
        <f t="shared" si="5"/>
        <v>1055060.6425967403</v>
      </c>
      <c r="G67" s="6">
        <f t="shared" si="6"/>
        <v>8946.5540848904438</v>
      </c>
      <c r="H67" s="23">
        <f>IF(B67="","",XIRR(_xlfn.VSTACK(I$9:I66,K67),_xlfn.VSTACK(J$9:J66,B67)))</f>
        <v>0.10775328278541565</v>
      </c>
      <c r="I67" s="29">
        <f t="shared" si="0"/>
        <v>8946.5540848904438</v>
      </c>
      <c r="J67" s="30">
        <f t="shared" si="7"/>
        <v>45016</v>
      </c>
      <c r="K67">
        <f t="shared" si="1"/>
        <v>1055060.6425967403</v>
      </c>
    </row>
    <row r="68" spans="1:11" x14ac:dyDescent="0.3">
      <c r="A68" s="8">
        <f t="shared" si="2"/>
        <v>59</v>
      </c>
      <c r="B68" s="19">
        <f>_xlfn.LET(_xlpm.d,EDATE($C$3,ROW()-9),IF(_xlpm.d&gt;$C$4,"",_xlfn.XLOOKUP(_xlpm.d,'Fund Data'!$A$2:$A$1971,'Fund Data'!$A$2:$A$1971,0,-1)))</f>
        <v>45044</v>
      </c>
      <c r="C68" s="20">
        <f>IF(B68="","",_xlfn.XLOOKUP(B68,'Fund Data'!$A$2:$A$1971,'Fund Data'!$B$2:$B$1971,0,-1))</f>
        <v>512.86</v>
      </c>
      <c r="D68" s="9">
        <f t="shared" si="3"/>
        <v>17.143415399211289</v>
      </c>
      <c r="E68" s="9">
        <f t="shared" si="4"/>
        <v>2103.1126939971841</v>
      </c>
      <c r="F68" s="10">
        <f t="shared" si="5"/>
        <v>1078602.376243396</v>
      </c>
      <c r="G68" s="6">
        <f t="shared" si="6"/>
        <v>8792.1720216395024</v>
      </c>
      <c r="H68" s="23">
        <f>IF(B68="","",XIRR(_xlfn.VSTACK(I$9:I67,K68),_xlfn.VSTACK(J$9:J67,B68)))</f>
        <v>0.11169838309288024</v>
      </c>
      <c r="I68" s="29">
        <f t="shared" si="0"/>
        <v>8792.1720216395024</v>
      </c>
      <c r="J68" s="30">
        <f t="shared" si="7"/>
        <v>45044</v>
      </c>
      <c r="K68">
        <f t="shared" si="1"/>
        <v>1078602.376243396</v>
      </c>
    </row>
    <row r="69" spans="1:11" x14ac:dyDescent="0.3">
      <c r="A69" s="8">
        <f t="shared" si="2"/>
        <v>60</v>
      </c>
      <c r="B69" s="19">
        <f>_xlfn.LET(_xlpm.d,EDATE($C$3,ROW()-9),IF(_xlpm.d&gt;$C$4,"",_xlfn.XLOOKUP(_xlpm.d,'Fund Data'!$A$2:$A$1971,'Fund Data'!$A$2:$A$1971,0,-1)))</f>
        <v>45078</v>
      </c>
      <c r="C69" s="20">
        <f>IF(B69="","",_xlfn.XLOOKUP(B69,'Fund Data'!$A$2:$A$1971,'Fund Data'!$B$2:$B$1971,0,-1))</f>
        <v>538.29</v>
      </c>
      <c r="D69" s="9">
        <f t="shared" si="3"/>
        <v>16.697975320666618</v>
      </c>
      <c r="E69" s="9">
        <f t="shared" si="4"/>
        <v>2086.4147186765176</v>
      </c>
      <c r="F69" s="10">
        <f t="shared" si="5"/>
        <v>1123096.1789163826</v>
      </c>
      <c r="G69" s="6">
        <f t="shared" si="6"/>
        <v>8988.3531353616327</v>
      </c>
      <c r="H69" s="23">
        <f>IF(B69="","",XIRR(_xlfn.VSTACK(I$9:I68,K69),_xlfn.VSTACK(J$9:J68,B69)))</f>
        <v>0.11833584904670713</v>
      </c>
      <c r="I69" s="29">
        <f t="shared" si="0"/>
        <v>8988.3531353616327</v>
      </c>
      <c r="J69" s="30">
        <f t="shared" si="7"/>
        <v>45078</v>
      </c>
      <c r="K69">
        <f t="shared" si="1"/>
        <v>1123096.1789163826</v>
      </c>
    </row>
    <row r="70" spans="1:11" x14ac:dyDescent="0.3">
      <c r="A70" s="8">
        <f t="shared" si="2"/>
        <v>61</v>
      </c>
      <c r="B70" s="19">
        <f>_xlfn.LET(_xlpm.d,EDATE($C$3,ROW()-9),IF(_xlpm.d&gt;$C$4,"",_xlfn.XLOOKUP(_xlpm.d,'Fund Data'!$A$2:$A$1971,'Fund Data'!$A$2:$A$1971,0,-1)))</f>
        <v>45107</v>
      </c>
      <c r="C70" s="20">
        <f>IF(B70="","",_xlfn.XLOOKUP(B70,'Fund Data'!$A$2:$A$1971,'Fund Data'!$B$2:$B$1971,0,-1))</f>
        <v>568.61</v>
      </c>
      <c r="D70" s="9">
        <f t="shared" si="3"/>
        <v>16.459673280989058</v>
      </c>
      <c r="E70" s="9">
        <f t="shared" si="4"/>
        <v>2069.9550453955285</v>
      </c>
      <c r="F70" s="10">
        <f t="shared" si="5"/>
        <v>1176997.1383623516</v>
      </c>
      <c r="G70" s="6">
        <f t="shared" si="6"/>
        <v>9359.134824303188</v>
      </c>
      <c r="H70" s="23">
        <f>IF(B70="","",XIRR(_xlfn.VSTACK(I$9:I69,K70),_xlfn.VSTACK(J$9:J69,B70)))</f>
        <v>0.12616624236106871</v>
      </c>
      <c r="I70" s="29">
        <f t="shared" si="0"/>
        <v>9359.134824303188</v>
      </c>
      <c r="J70" s="30">
        <f t="shared" si="7"/>
        <v>45107</v>
      </c>
      <c r="K70">
        <f t="shared" si="1"/>
        <v>1176997.1383623516</v>
      </c>
    </row>
    <row r="71" spans="1:11" x14ac:dyDescent="0.3">
      <c r="A71" s="8">
        <f t="shared" si="2"/>
        <v>62</v>
      </c>
      <c r="B71" s="19">
        <f>_xlfn.LET(_xlpm.d,EDATE($C$3,ROW()-9),IF(_xlpm.d&gt;$C$4,"",_xlfn.XLOOKUP(_xlpm.d,'Fund Data'!$A$2:$A$1971,'Fund Data'!$A$2:$A$1971,0,-1)))</f>
        <v>45139</v>
      </c>
      <c r="C71" s="20">
        <f>IF(B71="","",_xlfn.XLOOKUP(B71,'Fund Data'!$A$2:$A$1971,'Fund Data'!$B$2:$B$1971,0,-1))</f>
        <v>597.34</v>
      </c>
      <c r="D71" s="9">
        <f t="shared" si="3"/>
        <v>16.419977711777097</v>
      </c>
      <c r="E71" s="9">
        <f t="shared" si="4"/>
        <v>2053.5350676837515</v>
      </c>
      <c r="F71" s="10">
        <f t="shared" si="5"/>
        <v>1226658.6373302122</v>
      </c>
      <c r="G71" s="6">
        <f t="shared" si="6"/>
        <v>9808.3094863529313</v>
      </c>
      <c r="H71" s="23">
        <f>IF(B71="","",XIRR(_xlfn.VSTACK(I$9:I70,K71),_xlfn.VSTACK(J$9:J70,B71)))</f>
        <v>0.1327297747135163</v>
      </c>
      <c r="I71" s="29">
        <f t="shared" si="0"/>
        <v>9808.3094863529313</v>
      </c>
      <c r="J71" s="30">
        <f t="shared" si="7"/>
        <v>45139</v>
      </c>
      <c r="K71">
        <f t="shared" si="1"/>
        <v>1226658.6373302122</v>
      </c>
    </row>
    <row r="72" spans="1:11" x14ac:dyDescent="0.3">
      <c r="A72" s="8">
        <f t="shared" si="2"/>
        <v>63</v>
      </c>
      <c r="B72" s="19">
        <f>_xlfn.LET(_xlpm.d,EDATE($C$3,ROW()-9),IF(_xlpm.d&gt;$C$4,"",_xlfn.XLOOKUP(_xlpm.d,'Fund Data'!$A$2:$A$1971,'Fund Data'!$A$2:$A$1971,0,-1)))</f>
        <v>45170</v>
      </c>
      <c r="C72" s="20">
        <f>IF(B72="","",_xlfn.XLOOKUP(B72,'Fund Data'!$A$2:$A$1971,'Fund Data'!$B$2:$B$1971,0,-1))</f>
        <v>604.95000000000005</v>
      </c>
      <c r="D72" s="9">
        <f t="shared" si="3"/>
        <v>16.897520970468801</v>
      </c>
      <c r="E72" s="9">
        <f t="shared" si="4"/>
        <v>2036.6375467132827</v>
      </c>
      <c r="F72" s="10">
        <f t="shared" si="5"/>
        <v>1232063.8838842006</v>
      </c>
      <c r="G72" s="6">
        <f t="shared" si="6"/>
        <v>10222.155311085102</v>
      </c>
      <c r="H72" s="23">
        <f>IF(B72="","",XIRR(_xlfn.VSTACK(I$9:I71,K72),_xlfn.VSTACK(J$9:J71,B72)))</f>
        <v>0.13303582072257991</v>
      </c>
      <c r="I72" s="29">
        <f t="shared" si="0"/>
        <v>10222.155311085102</v>
      </c>
      <c r="J72" s="30">
        <f t="shared" si="7"/>
        <v>45170</v>
      </c>
      <c r="K72">
        <f t="shared" si="1"/>
        <v>1232063.8838842006</v>
      </c>
    </row>
    <row r="73" spans="1:11" x14ac:dyDescent="0.3">
      <c r="A73" s="8">
        <f t="shared" si="2"/>
        <v>64</v>
      </c>
      <c r="B73" s="19">
        <f>_xlfn.LET(_xlpm.d,EDATE($C$3,ROW()-9),IF(_xlpm.d&gt;$C$4,"",_xlfn.XLOOKUP(_xlpm.d,'Fund Data'!$A$2:$A$1971,'Fund Data'!$A$2:$A$1971,0,-1)))</f>
        <v>45198</v>
      </c>
      <c r="C73" s="20">
        <f>IF(B73="","",_xlfn.XLOOKUP(B73,'Fund Data'!$A$2:$A$1971,'Fund Data'!$B$2:$B$1971,0,-1))</f>
        <v>614.23</v>
      </c>
      <c r="D73" s="9">
        <f t="shared" si="3"/>
        <v>16.715560998922779</v>
      </c>
      <c r="E73" s="9">
        <f t="shared" si="4"/>
        <v>2019.9219857143601</v>
      </c>
      <c r="F73" s="10">
        <f t="shared" si="5"/>
        <v>1240696.6812853315</v>
      </c>
      <c r="G73" s="6">
        <f t="shared" si="6"/>
        <v>10267.199032368339</v>
      </c>
      <c r="H73" s="23">
        <f>IF(B73="","",XIRR(_xlfn.VSTACK(I$9:I72,K73),_xlfn.VSTACK(J$9:J72,B73)))</f>
        <v>0.13397206664085387</v>
      </c>
      <c r="I73" s="29">
        <f t="shared" si="0"/>
        <v>10267.199032368339</v>
      </c>
      <c r="J73" s="30">
        <f t="shared" si="7"/>
        <v>45198</v>
      </c>
      <c r="K73">
        <f t="shared" si="1"/>
        <v>1240696.6812853315</v>
      </c>
    </row>
    <row r="74" spans="1:11" x14ac:dyDescent="0.3">
      <c r="A74" s="8">
        <f t="shared" si="2"/>
        <v>65</v>
      </c>
      <c r="B74" s="19">
        <f>_xlfn.LET(_xlpm.d,EDATE($C$3,ROW()-9),IF(_xlpm.d&gt;$C$4,"",_xlfn.XLOOKUP(_xlpm.d,'Fund Data'!$A$2:$A$1971,'Fund Data'!$A$2:$A$1971,0,-1)))</f>
        <v>45231</v>
      </c>
      <c r="C74" s="20">
        <f>IF(B74="","",_xlfn.XLOOKUP(B74,'Fund Data'!$A$2:$A$1971,'Fund Data'!$B$2:$B$1971,0,-1))</f>
        <v>598.64</v>
      </c>
      <c r="D74" s="9">
        <f t="shared" si="3"/>
        <v>17.271046055577806</v>
      </c>
      <c r="E74" s="9">
        <f t="shared" si="4"/>
        <v>2002.6509396587824</v>
      </c>
      <c r="F74" s="10">
        <f t="shared" si="5"/>
        <v>1198866.9585173335</v>
      </c>
      <c r="G74" s="6">
        <f t="shared" si="6"/>
        <v>10339.139010711096</v>
      </c>
      <c r="H74" s="23">
        <f>IF(B74="","",XIRR(_xlfn.VSTACK(I$9:I73,K74),_xlfn.VSTACK(J$9:J73,B74)))</f>
        <v>0.12802748084068297</v>
      </c>
      <c r="I74" s="29">
        <f t="shared" si="0"/>
        <v>10339.139010711096</v>
      </c>
      <c r="J74" s="30">
        <f t="shared" si="7"/>
        <v>45231</v>
      </c>
      <c r="K74">
        <f t="shared" si="1"/>
        <v>1198866.9585173335</v>
      </c>
    </row>
    <row r="75" spans="1:11" x14ac:dyDescent="0.3">
      <c r="A75" s="8">
        <f t="shared" si="2"/>
        <v>66</v>
      </c>
      <c r="B75" s="19">
        <f>_xlfn.LET(_xlpm.d,EDATE($C$3,ROW()-9),IF(_xlpm.d&gt;$C$4,"",_xlfn.XLOOKUP(_xlpm.d,'Fund Data'!$A$2:$A$1971,'Fund Data'!$A$2:$A$1971,0,-1)))</f>
        <v>45261</v>
      </c>
      <c r="C75" s="20">
        <f>IF(B75="","",_xlfn.XLOOKUP(B75,'Fund Data'!$A$2:$A$1971,'Fund Data'!$B$2:$B$1971,0,-1))</f>
        <v>650.44000000000005</v>
      </c>
      <c r="D75" s="9">
        <f t="shared" si="3"/>
        <v>15.359691881871418</v>
      </c>
      <c r="E75" s="9">
        <f t="shared" si="4"/>
        <v>1987.291247776911</v>
      </c>
      <c r="F75" s="10">
        <f t="shared" si="5"/>
        <v>1292613.7192040142</v>
      </c>
      <c r="G75" s="6">
        <f t="shared" si="6"/>
        <v>9990.5579876444463</v>
      </c>
      <c r="H75" s="23">
        <f>IF(B75="","",XIRR(_xlfn.VSTACK(I$9:I74,K75),_xlfn.VSTACK(J$9:J74,B75)))</f>
        <v>0.13964301943778992</v>
      </c>
      <c r="I75" s="29">
        <f t="shared" ref="I75:I103" si="8">IF(B75="","",G75)</f>
        <v>9990.5579876444463</v>
      </c>
      <c r="J75" s="30">
        <f t="shared" si="7"/>
        <v>45261</v>
      </c>
      <c r="K75">
        <f t="shared" ref="K75:K103" si="9">IF(B75="","",F75)</f>
        <v>1292613.7192040142</v>
      </c>
    </row>
    <row r="76" spans="1:11" x14ac:dyDescent="0.3">
      <c r="A76" s="8">
        <f t="shared" ref="A76:A105" si="10">ROW()-9</f>
        <v>67</v>
      </c>
      <c r="B76" s="19">
        <f>_xlfn.LET(_xlpm.d,EDATE($C$3,ROW()-9),IF(_xlpm.d&gt;$C$4,"",_xlfn.XLOOKUP(_xlpm.d,'Fund Data'!$A$2:$A$1971,'Fund Data'!$A$2:$A$1971,0,-1)))</f>
        <v>45292</v>
      </c>
      <c r="C76" s="20">
        <f>IF(B76="","",_xlfn.XLOOKUP(B76,'Fund Data'!$A$2:$A$1971,'Fund Data'!$B$2:$B$1971,0,-1))</f>
        <v>699.72</v>
      </c>
      <c r="D76" s="9">
        <f t="shared" ref="D76:D105" si="11">IF(B76="","",F75*$G$2/12/C76)</f>
        <v>15.394416328483944</v>
      </c>
      <c r="E76" s="9">
        <f t="shared" ref="E76:E105" si="12">IF(B76="","",E75-D76)</f>
        <v>1971.8968314484271</v>
      </c>
      <c r="F76" s="10">
        <f t="shared" ref="F76:F105" si="13">IF(B76="","",E76*C76)</f>
        <v>1379775.6509010934</v>
      </c>
      <c r="G76" s="6">
        <f t="shared" ref="G76:G105" si="14">IF(B76="","",D76*C76)</f>
        <v>10771.780993366785</v>
      </c>
      <c r="H76" s="23">
        <f>IF(B76="","",XIRR(_xlfn.VSTACK(I$9:I75,K76),_xlfn.VSTACK(J$9:J75,B76)))</f>
        <v>0.14936410784721371</v>
      </c>
      <c r="I76" s="29">
        <f t="shared" si="8"/>
        <v>10771.780993366785</v>
      </c>
      <c r="J76" s="30">
        <f t="shared" ref="J76:J105" si="15">IF(B76="","",B76)</f>
        <v>45292</v>
      </c>
      <c r="K76">
        <f t="shared" si="9"/>
        <v>1379775.6509010934</v>
      </c>
    </row>
    <row r="77" spans="1:11" x14ac:dyDescent="0.3">
      <c r="A77" s="8">
        <f t="shared" si="10"/>
        <v>68</v>
      </c>
      <c r="B77" s="19">
        <f>_xlfn.LET(_xlpm.d,EDATE($C$3,ROW()-9),IF(_xlpm.d&gt;$C$4,"",_xlfn.XLOOKUP(_xlpm.d,'Fund Data'!$A$2:$A$1971,'Fund Data'!$A$2:$A$1971,0,-1)))</f>
        <v>45323</v>
      </c>
      <c r="C77" s="20">
        <f>IF(B77="","",_xlfn.XLOOKUP(B77,'Fund Data'!$A$2:$A$1971,'Fund Data'!$B$2:$B$1971,0,-1))</f>
        <v>717.71</v>
      </c>
      <c r="D77" s="9">
        <f t="shared" si="11"/>
        <v>16.020579933644196</v>
      </c>
      <c r="E77" s="9">
        <f t="shared" si="12"/>
        <v>1955.8762515147828</v>
      </c>
      <c r="F77" s="10">
        <f t="shared" si="13"/>
        <v>1403751.9444746748</v>
      </c>
      <c r="G77" s="6">
        <f t="shared" si="14"/>
        <v>11498.130424175777</v>
      </c>
      <c r="H77" s="23">
        <f>IF(B77="","",XIRR(_xlfn.VSTACK(I$9:I76,K77),_xlfn.VSTACK(J$9:J76,B77)))</f>
        <v>0.15142615437507628</v>
      </c>
      <c r="I77" s="29">
        <f t="shared" si="8"/>
        <v>11498.130424175777</v>
      </c>
      <c r="J77" s="30">
        <f t="shared" si="15"/>
        <v>45323</v>
      </c>
      <c r="K77">
        <f t="shared" si="9"/>
        <v>1403751.9444746748</v>
      </c>
    </row>
    <row r="78" spans="1:11" x14ac:dyDescent="0.3">
      <c r="A78" s="8">
        <f t="shared" si="10"/>
        <v>69</v>
      </c>
      <c r="B78" s="19">
        <f>_xlfn.LET(_xlpm.d,EDATE($C$3,ROW()-9),IF(_xlpm.d&gt;$C$4,"",_xlfn.XLOOKUP(_xlpm.d,'Fund Data'!$A$2:$A$1971,'Fund Data'!$A$2:$A$1971,0,-1)))</f>
        <v>45352</v>
      </c>
      <c r="C78" s="20">
        <f>IF(B78="","",_xlfn.XLOOKUP(B78,'Fund Data'!$A$2:$A$1971,'Fund Data'!$B$2:$B$1971,0,-1))</f>
        <v>744.82</v>
      </c>
      <c r="D78" s="9">
        <f t="shared" si="11"/>
        <v>15.705717986389045</v>
      </c>
      <c r="E78" s="9">
        <f t="shared" si="12"/>
        <v>1940.1705335283937</v>
      </c>
      <c r="F78" s="10">
        <f t="shared" si="13"/>
        <v>1445077.8167826182</v>
      </c>
      <c r="G78" s="6">
        <f t="shared" si="14"/>
        <v>11697.93287062229</v>
      </c>
      <c r="H78" s="23">
        <f>IF(B78="","",XIRR(_xlfn.VSTACK(I$9:I77,K78),_xlfn.VSTACK(J$9:J77,B78)))</f>
        <v>0.15542787909507752</v>
      </c>
      <c r="I78" s="29">
        <f t="shared" si="8"/>
        <v>11697.93287062229</v>
      </c>
      <c r="J78" s="30">
        <f t="shared" si="15"/>
        <v>45352</v>
      </c>
      <c r="K78">
        <f t="shared" si="9"/>
        <v>1445077.8167826182</v>
      </c>
    </row>
    <row r="79" spans="1:11" x14ac:dyDescent="0.3">
      <c r="A79" s="8">
        <f t="shared" si="10"/>
        <v>70</v>
      </c>
      <c r="B79" s="19">
        <f>_xlfn.LET(_xlpm.d,EDATE($C$3,ROW()-9),IF(_xlpm.d&gt;$C$4,"",_xlfn.XLOOKUP(_xlpm.d,'Fund Data'!$A$2:$A$1971,'Fund Data'!$A$2:$A$1971,0,-1)))</f>
        <v>45383</v>
      </c>
      <c r="C79" s="20">
        <f>IF(B79="","",_xlfn.XLOOKUP(B79,'Fund Data'!$A$2:$A$1971,'Fund Data'!$B$2:$B$1971,0,-1))</f>
        <v>752.11</v>
      </c>
      <c r="D79" s="9">
        <f t="shared" si="11"/>
        <v>16.011374851890217</v>
      </c>
      <c r="E79" s="9">
        <f t="shared" si="12"/>
        <v>1924.1591586765035</v>
      </c>
      <c r="F79" s="10">
        <f t="shared" si="13"/>
        <v>1447179.344832185</v>
      </c>
      <c r="G79" s="6">
        <f t="shared" si="14"/>
        <v>12042.315139855151</v>
      </c>
      <c r="H79" s="23">
        <f>IF(B79="","",XIRR(_xlfn.VSTACK(I$9:I78,K79),_xlfn.VSTACK(J$9:J78,B79)))</f>
        <v>0.15502111315727241</v>
      </c>
      <c r="I79" s="29">
        <f t="shared" si="8"/>
        <v>12042.315139855151</v>
      </c>
      <c r="J79" s="30">
        <f t="shared" si="15"/>
        <v>45383</v>
      </c>
      <c r="K79">
        <f t="shared" si="9"/>
        <v>1447179.344832185</v>
      </c>
    </row>
    <row r="80" spans="1:11" x14ac:dyDescent="0.3">
      <c r="A80" s="8">
        <f t="shared" si="10"/>
        <v>71</v>
      </c>
      <c r="B80" s="19">
        <f>_xlfn.LET(_xlpm.d,EDATE($C$3,ROW()-9),IF(_xlpm.d&gt;$C$4,"",_xlfn.XLOOKUP(_xlpm.d,'Fund Data'!$A$2:$A$1971,'Fund Data'!$A$2:$A$1971,0,-1)))</f>
        <v>45412</v>
      </c>
      <c r="C80" s="20">
        <f>IF(B80="","",_xlfn.XLOOKUP(B80,'Fund Data'!$A$2:$A$1971,'Fund Data'!$B$2:$B$1971,0,-1))</f>
        <v>772.72</v>
      </c>
      <c r="D80" s="9">
        <f t="shared" si="11"/>
        <v>15.60698296097104</v>
      </c>
      <c r="E80" s="9">
        <f t="shared" si="12"/>
        <v>1908.5521757155325</v>
      </c>
      <c r="F80" s="10">
        <f t="shared" si="13"/>
        <v>1474776.4372189064</v>
      </c>
      <c r="G80" s="6">
        <f t="shared" si="14"/>
        <v>12059.827873601542</v>
      </c>
      <c r="H80" s="23">
        <f>IF(B80="","",XIRR(_xlfn.VSTACK(I$9:I79,K80),_xlfn.VSTACK(J$9:J79,B80)))</f>
        <v>0.15737100243568422</v>
      </c>
      <c r="I80" s="29">
        <f t="shared" si="8"/>
        <v>12059.827873601542</v>
      </c>
      <c r="J80" s="30">
        <f t="shared" si="15"/>
        <v>45412</v>
      </c>
      <c r="K80">
        <f t="shared" si="9"/>
        <v>1474776.4372189064</v>
      </c>
    </row>
    <row r="81" spans="1:11" x14ac:dyDescent="0.3">
      <c r="A81" s="8">
        <f t="shared" si="10"/>
        <v>72</v>
      </c>
      <c r="B81" s="19">
        <f>_xlfn.LET(_xlpm.d,EDATE($C$3,ROW()-9),IF(_xlpm.d&gt;$C$4,"",_xlfn.XLOOKUP(_xlpm.d,'Fund Data'!$A$2:$A$1971,'Fund Data'!$A$2:$A$1971,0,-1)))</f>
        <v>45443</v>
      </c>
      <c r="C81" s="20">
        <f>IF(B81="","",_xlfn.XLOOKUP(B81,'Fund Data'!$A$2:$A$1971,'Fund Data'!$B$2:$B$1971,0,-1))</f>
        <v>775.73</v>
      </c>
      <c r="D81" s="9">
        <f t="shared" si="11"/>
        <v>15.842888174353043</v>
      </c>
      <c r="E81" s="9">
        <f t="shared" si="12"/>
        <v>1892.7092875411795</v>
      </c>
      <c r="F81" s="10">
        <f t="shared" si="13"/>
        <v>1468231.3756243193</v>
      </c>
      <c r="G81" s="6">
        <f t="shared" si="14"/>
        <v>12289.803643490886</v>
      </c>
      <c r="H81" s="23">
        <f>IF(B81="","",XIRR(_xlfn.VSTACK(I$9:I80,K81),_xlfn.VSTACK(J$9:J80,B81)))</f>
        <v>0.15610709786415103</v>
      </c>
      <c r="I81" s="29">
        <f t="shared" si="8"/>
        <v>12289.803643490886</v>
      </c>
      <c r="J81" s="30">
        <f t="shared" si="15"/>
        <v>45443</v>
      </c>
      <c r="K81">
        <f t="shared" si="9"/>
        <v>1468231.3756243193</v>
      </c>
    </row>
    <row r="82" spans="1:11" x14ac:dyDescent="0.3">
      <c r="A82" s="8">
        <f t="shared" si="10"/>
        <v>73</v>
      </c>
      <c r="B82" s="19">
        <f>_xlfn.LET(_xlpm.d,EDATE($C$3,ROW()-9),IF(_xlpm.d&gt;$C$4,"",_xlfn.XLOOKUP(_xlpm.d,'Fund Data'!$A$2:$A$1971,'Fund Data'!$A$2:$A$1971,0,-1)))</f>
        <v>45474</v>
      </c>
      <c r="C82" s="20">
        <f>IF(B82="","",_xlfn.XLOOKUP(B82,'Fund Data'!$A$2:$A$1971,'Fund Data'!$B$2:$B$1971,0,-1))</f>
        <v>836.94</v>
      </c>
      <c r="D82" s="9">
        <f t="shared" si="11"/>
        <v>14.619042540129513</v>
      </c>
      <c r="E82" s="9">
        <f t="shared" si="12"/>
        <v>1878.0902450010499</v>
      </c>
      <c r="F82" s="10">
        <f t="shared" si="13"/>
        <v>1571848.8496511788</v>
      </c>
      <c r="G82" s="6">
        <f t="shared" si="14"/>
        <v>12235.261463535995</v>
      </c>
      <c r="H82" s="23">
        <f>IF(B82="","",XIRR(_xlfn.VSTACK(I$9:I81,K82),_xlfn.VSTACK(J$9:J81,B82)))</f>
        <v>0.16539866328239444</v>
      </c>
      <c r="I82" s="29">
        <f t="shared" si="8"/>
        <v>12235.261463535995</v>
      </c>
      <c r="J82" s="30">
        <f t="shared" si="15"/>
        <v>45474</v>
      </c>
      <c r="K82">
        <f t="shared" si="9"/>
        <v>1571848.8496511788</v>
      </c>
    </row>
    <row r="83" spans="1:11" x14ac:dyDescent="0.3">
      <c r="A83" s="8">
        <f t="shared" si="10"/>
        <v>74</v>
      </c>
      <c r="B83" s="19">
        <f>_xlfn.LET(_xlpm.d,EDATE($C$3,ROW()-9),IF(_xlpm.d&gt;$C$4,"",_xlfn.XLOOKUP(_xlpm.d,'Fund Data'!$A$2:$A$1971,'Fund Data'!$A$2:$A$1971,0,-1)))</f>
        <v>45505</v>
      </c>
      <c r="C83" s="20">
        <f>IF(B83="","",_xlfn.XLOOKUP(B83,'Fund Data'!$A$2:$A$1971,'Fund Data'!$B$2:$B$1971,0,-1))</f>
        <v>881.46</v>
      </c>
      <c r="D83" s="9">
        <f t="shared" si="11"/>
        <v>14.860277736663972</v>
      </c>
      <c r="E83" s="9">
        <f t="shared" si="12"/>
        <v>1863.229967264386</v>
      </c>
      <c r="F83" s="10">
        <f t="shared" si="13"/>
        <v>1642362.6869448659</v>
      </c>
      <c r="G83" s="6">
        <f t="shared" si="14"/>
        <v>13098.740413759826</v>
      </c>
      <c r="H83" s="23">
        <f>IF(B83="","",XIRR(_xlfn.VSTACK(I$9:I82,K83),_xlfn.VSTACK(J$9:J82,B83)))</f>
        <v>0.17097359299659728</v>
      </c>
      <c r="I83" s="29">
        <f t="shared" si="8"/>
        <v>13098.740413759826</v>
      </c>
      <c r="J83" s="30">
        <f t="shared" si="15"/>
        <v>45505</v>
      </c>
      <c r="K83">
        <f t="shared" si="9"/>
        <v>1642362.6869448659</v>
      </c>
    </row>
    <row r="84" spans="1:11" x14ac:dyDescent="0.3">
      <c r="A84" s="8">
        <f t="shared" si="10"/>
        <v>75</v>
      </c>
      <c r="B84" s="19">
        <f>_xlfn.LET(_xlpm.d,EDATE($C$3,ROW()-9),IF(_xlpm.d&gt;$C$4,"",_xlfn.XLOOKUP(_xlpm.d,'Fund Data'!$A$2:$A$1971,'Fund Data'!$A$2:$A$1971,0,-1)))</f>
        <v>45534</v>
      </c>
      <c r="C84" s="20">
        <f>IF(B84="","",_xlfn.XLOOKUP(B84,'Fund Data'!$A$2:$A$1971,'Fund Data'!$B$2:$B$1971,0,-1))</f>
        <v>898.34</v>
      </c>
      <c r="D84" s="9">
        <f t="shared" si="11"/>
        <v>15.2351623266698</v>
      </c>
      <c r="E84" s="9">
        <f t="shared" si="12"/>
        <v>1847.9948049377163</v>
      </c>
      <c r="F84" s="10">
        <f t="shared" si="13"/>
        <v>1660127.6530677481</v>
      </c>
      <c r="G84" s="6">
        <f t="shared" si="14"/>
        <v>13686.355724540548</v>
      </c>
      <c r="H84" s="23">
        <f>IF(B84="","",XIRR(_xlfn.VSTACK(I$9:I83,K84),_xlfn.VSTACK(J$9:J83,B84)))</f>
        <v>0.17186046242713929</v>
      </c>
      <c r="I84" s="29">
        <f t="shared" si="8"/>
        <v>13686.355724540548</v>
      </c>
      <c r="J84" s="30">
        <f t="shared" si="15"/>
        <v>45534</v>
      </c>
      <c r="K84">
        <f t="shared" si="9"/>
        <v>1660127.6530677481</v>
      </c>
    </row>
    <row r="85" spans="1:11" x14ac:dyDescent="0.3">
      <c r="A85" s="8">
        <f t="shared" si="10"/>
        <v>76</v>
      </c>
      <c r="B85" s="19">
        <f>_xlfn.LET(_xlpm.d,EDATE($C$3,ROW()-9),IF(_xlpm.d&gt;$C$4,"",_xlfn.XLOOKUP(_xlpm.d,'Fund Data'!$A$2:$A$1971,'Fund Data'!$A$2:$A$1971,0,-1)))</f>
        <v>45566</v>
      </c>
      <c r="C85" s="20">
        <f>IF(B85="","",_xlfn.XLOOKUP(B85,'Fund Data'!$A$2:$A$1971,'Fund Data'!$B$2:$B$1971,0,-1))</f>
        <v>919.05</v>
      </c>
      <c r="D85" s="9">
        <f t="shared" si="11"/>
        <v>15.052931950272457</v>
      </c>
      <c r="E85" s="9">
        <f t="shared" si="12"/>
        <v>1832.9418729874437</v>
      </c>
      <c r="F85" s="10">
        <f t="shared" si="13"/>
        <v>1684565.22836911</v>
      </c>
      <c r="G85" s="6">
        <f t="shared" si="14"/>
        <v>13834.397108897901</v>
      </c>
      <c r="H85" s="23">
        <f>IF(B85="","",XIRR(_xlfn.VSTACK(I$9:I84,K85),_xlfn.VSTACK(J$9:J84,B85)))</f>
        <v>0.17311962246894838</v>
      </c>
      <c r="I85" s="29">
        <f t="shared" si="8"/>
        <v>13834.397108897901</v>
      </c>
      <c r="J85" s="30">
        <f t="shared" si="15"/>
        <v>45566</v>
      </c>
      <c r="K85">
        <f t="shared" si="9"/>
        <v>1684565.22836911</v>
      </c>
    </row>
    <row r="86" spans="1:11" x14ac:dyDescent="0.3">
      <c r="A86" s="8">
        <f t="shared" si="10"/>
        <v>77</v>
      </c>
      <c r="B86" s="19">
        <f>_xlfn.LET(_xlpm.d,EDATE($C$3,ROW()-9),IF(_xlpm.d&gt;$C$4,"",_xlfn.XLOOKUP(_xlpm.d,'Fund Data'!$A$2:$A$1971,'Fund Data'!$A$2:$A$1971,0,-1)))</f>
        <v>45596</v>
      </c>
      <c r="C86" s="20">
        <f>IF(B86="","",_xlfn.XLOOKUP(B86,'Fund Data'!$A$2:$A$1971,'Fund Data'!$B$2:$B$1971,0,-1))</f>
        <v>873.12</v>
      </c>
      <c r="D86" s="9">
        <f t="shared" si="11"/>
        <v>16.078023146580751</v>
      </c>
      <c r="E86" s="9">
        <f t="shared" si="12"/>
        <v>1816.8638498408629</v>
      </c>
      <c r="F86" s="10">
        <f t="shared" si="13"/>
        <v>1586340.1645730543</v>
      </c>
      <c r="G86" s="6">
        <f t="shared" si="14"/>
        <v>14038.043569742586</v>
      </c>
      <c r="H86" s="23">
        <f>IF(B86="","",XIRR(_xlfn.VSTACK(I$9:I85,K86),_xlfn.VSTACK(J$9:J85,B86)))</f>
        <v>0.1642535269260407</v>
      </c>
      <c r="I86" s="29">
        <f t="shared" si="8"/>
        <v>14038.043569742586</v>
      </c>
      <c r="J86" s="30">
        <f t="shared" si="15"/>
        <v>45596</v>
      </c>
      <c r="K86">
        <f t="shared" si="9"/>
        <v>1586340.1645730543</v>
      </c>
    </row>
    <row r="87" spans="1:11" x14ac:dyDescent="0.3">
      <c r="A87" s="8">
        <f t="shared" si="10"/>
        <v>78</v>
      </c>
      <c r="B87" s="19">
        <f>_xlfn.LET(_xlpm.d,EDATE($C$3,ROW()-9),IF(_xlpm.d&gt;$C$4,"",_xlfn.XLOOKUP(_xlpm.d,'Fund Data'!$A$2:$A$1971,'Fund Data'!$A$2:$A$1971,0,-1)))</f>
        <v>45625</v>
      </c>
      <c r="C87" s="20">
        <f>IF(B87="","",_xlfn.XLOOKUP(B87,'Fund Data'!$A$2:$A$1971,'Fund Data'!$B$2:$B$1971,0,-1))</f>
        <v>866.12</v>
      </c>
      <c r="D87" s="9">
        <f t="shared" si="11"/>
        <v>15.262898179746594</v>
      </c>
      <c r="E87" s="9">
        <f t="shared" si="12"/>
        <v>1801.6009516611164</v>
      </c>
      <c r="F87" s="10">
        <f t="shared" si="13"/>
        <v>1560402.6162527262</v>
      </c>
      <c r="G87" s="6">
        <f t="shared" si="14"/>
        <v>13219.50137144212</v>
      </c>
      <c r="H87" s="23">
        <f>IF(B87="","",XIRR(_xlfn.VSTACK(I$9:I86,K87),_xlfn.VSTACK(J$9:J86,B87)))</f>
        <v>0.16164781451225285</v>
      </c>
      <c r="I87" s="29">
        <f t="shared" si="8"/>
        <v>13219.50137144212</v>
      </c>
      <c r="J87" s="30">
        <f t="shared" si="15"/>
        <v>45625</v>
      </c>
      <c r="K87">
        <f t="shared" si="9"/>
        <v>1560402.6162527262</v>
      </c>
    </row>
    <row r="88" spans="1:11" x14ac:dyDescent="0.3">
      <c r="A88" s="8">
        <f t="shared" si="10"/>
        <v>79</v>
      </c>
      <c r="B88" s="19">
        <f>_xlfn.LET(_xlpm.d,EDATE($C$3,ROW()-9),IF(_xlpm.d&gt;$C$4,"",_xlfn.XLOOKUP(_xlpm.d,'Fund Data'!$A$2:$A$1971,'Fund Data'!$A$2:$A$1971,0,-1)))</f>
        <v>45658</v>
      </c>
      <c r="C88" s="20">
        <f>IF(B88="","",_xlfn.XLOOKUP(B88,'Fund Data'!$A$2:$A$1971,'Fund Data'!$B$2:$B$1971,0,-1))</f>
        <v>850.85</v>
      </c>
      <c r="D88" s="9">
        <f t="shared" si="11"/>
        <v>15.282782083139667</v>
      </c>
      <c r="E88" s="9">
        <f t="shared" si="12"/>
        <v>1786.3181695779767</v>
      </c>
      <c r="F88" s="10">
        <f t="shared" si="13"/>
        <v>1519888.8145854215</v>
      </c>
      <c r="G88" s="6">
        <f t="shared" si="14"/>
        <v>13003.355135439386</v>
      </c>
      <c r="H88" s="23">
        <f>IF(B88="","",XIRR(_xlfn.VSTACK(I$9:I87,K88),_xlfn.VSTACK(J$9:J87,B88)))</f>
        <v>0.15760521292686466</v>
      </c>
      <c r="I88" s="29">
        <f t="shared" si="8"/>
        <v>13003.355135439386</v>
      </c>
      <c r="J88" s="30">
        <f t="shared" si="15"/>
        <v>45658</v>
      </c>
      <c r="K88">
        <f t="shared" si="9"/>
        <v>1519888.8145854215</v>
      </c>
    </row>
    <row r="89" spans="1:11" x14ac:dyDescent="0.3">
      <c r="A89" s="8">
        <f t="shared" si="10"/>
        <v>80</v>
      </c>
      <c r="B89" s="19">
        <f>_xlfn.LET(_xlpm.d,EDATE($C$3,ROW()-9),IF(_xlpm.d&gt;$C$4,"",_xlfn.XLOOKUP(_xlpm.d,'Fund Data'!$A$2:$A$1971,'Fund Data'!$A$2:$A$1971,0,-1)))</f>
        <v>45688</v>
      </c>
      <c r="C89" s="20">
        <f>IF(B89="","",_xlfn.XLOOKUP(B89,'Fund Data'!$A$2:$A$1971,'Fund Data'!$B$2:$B$1971,0,-1))</f>
        <v>828.52</v>
      </c>
      <c r="D89" s="9">
        <f t="shared" si="11"/>
        <v>15.28718693760583</v>
      </c>
      <c r="E89" s="9">
        <f t="shared" si="12"/>
        <v>1771.0309826403709</v>
      </c>
      <c r="F89" s="10">
        <f t="shared" si="13"/>
        <v>1467334.5897371999</v>
      </c>
      <c r="G89" s="6">
        <f t="shared" si="14"/>
        <v>12665.740121545181</v>
      </c>
      <c r="H89" s="23">
        <f>IF(B89="","",XIRR(_xlfn.VSTACK(I$9:I88,K89),_xlfn.VSTACK(J$9:J88,B89)))</f>
        <v>0.1527622997760773</v>
      </c>
      <c r="I89" s="29">
        <f t="shared" si="8"/>
        <v>12665.740121545181</v>
      </c>
      <c r="J89" s="30">
        <f t="shared" si="15"/>
        <v>45688</v>
      </c>
      <c r="K89">
        <f t="shared" si="9"/>
        <v>1467334.5897371999</v>
      </c>
    </row>
    <row r="90" spans="1:11" x14ac:dyDescent="0.3">
      <c r="A90" s="8">
        <f t="shared" si="10"/>
        <v>81</v>
      </c>
      <c r="B90" s="19">
        <f>_xlfn.LET(_xlpm.d,EDATE($C$3,ROW()-9),IF(_xlpm.d&gt;$C$4,"",_xlfn.XLOOKUP(_xlpm.d,'Fund Data'!$A$2:$A$1971,'Fund Data'!$A$2:$A$1971,0,-1)))</f>
        <v>45716</v>
      </c>
      <c r="C90" s="20">
        <f>IF(B90="","",_xlfn.XLOOKUP(B90,'Fund Data'!$A$2:$A$1971,'Fund Data'!$B$2:$B$1971,0,-1))</f>
        <v>764.93</v>
      </c>
      <c r="D90" s="9">
        <f t="shared" si="11"/>
        <v>15.985499650700065</v>
      </c>
      <c r="E90" s="9">
        <f t="shared" si="12"/>
        <v>1755.0454829896707</v>
      </c>
      <c r="F90" s="10">
        <f t="shared" si="13"/>
        <v>1342486.9413032888</v>
      </c>
      <c r="G90" s="6">
        <f t="shared" si="14"/>
        <v>12227.78824781</v>
      </c>
      <c r="H90" s="23">
        <f>IF(B90="","",XIRR(_xlfn.VSTACK(I$9:I89,K90),_xlfn.VSTACK(J$9:J89,B90)))</f>
        <v>0.14174875617027285</v>
      </c>
      <c r="I90" s="29">
        <f t="shared" si="8"/>
        <v>12227.78824781</v>
      </c>
      <c r="J90" s="30">
        <f t="shared" si="15"/>
        <v>45716</v>
      </c>
      <c r="K90">
        <f t="shared" si="9"/>
        <v>1342486.9413032888</v>
      </c>
    </row>
    <row r="91" spans="1:11" x14ac:dyDescent="0.3">
      <c r="A91" s="8">
        <f t="shared" si="10"/>
        <v>82</v>
      </c>
      <c r="B91" s="19">
        <f>_xlfn.LET(_xlpm.d,EDATE($C$3,ROW()-9),IF(_xlpm.d&gt;$C$4,"",_xlfn.XLOOKUP(_xlpm.d,'Fund Data'!$A$2:$A$1971,'Fund Data'!$A$2:$A$1971,0,-1)))</f>
        <v>45748</v>
      </c>
      <c r="C91" s="20">
        <f>IF(B91="","",_xlfn.XLOOKUP(B91,'Fund Data'!$A$2:$A$1971,'Fund Data'!$B$2:$B$1971,0,-1))</f>
        <v>811.98</v>
      </c>
      <c r="D91" s="9">
        <f t="shared" si="11"/>
        <v>13.777914699287431</v>
      </c>
      <c r="E91" s="9">
        <f t="shared" si="12"/>
        <v>1741.2675682903832</v>
      </c>
      <c r="F91" s="10">
        <f t="shared" si="13"/>
        <v>1413874.4401004254</v>
      </c>
      <c r="G91" s="6">
        <f t="shared" si="14"/>
        <v>11187.391177527408</v>
      </c>
      <c r="H91" s="23">
        <f>IF(B91="","",XIRR(_xlfn.VSTACK(I$9:I90,K91),_xlfn.VSTACK(J$9:J90,B91)))</f>
        <v>0.1475638091564179</v>
      </c>
      <c r="I91" s="29">
        <f t="shared" si="8"/>
        <v>11187.391177527408</v>
      </c>
      <c r="J91" s="30">
        <f t="shared" si="15"/>
        <v>45748</v>
      </c>
      <c r="K91">
        <f t="shared" si="9"/>
        <v>1413874.4401004254</v>
      </c>
    </row>
    <row r="92" spans="1:11" x14ac:dyDescent="0.3">
      <c r="A92" s="8">
        <f t="shared" si="10"/>
        <v>83</v>
      </c>
      <c r="B92" s="19">
        <f>_xlfn.LET(_xlpm.d,EDATE($C$3,ROW()-9),IF(_xlpm.d&gt;$C$4,"",_xlfn.XLOOKUP(_xlpm.d,'Fund Data'!$A$2:$A$1971,'Fund Data'!$A$2:$A$1971,0,-1)))</f>
        <v>45777</v>
      </c>
      <c r="C92" s="20">
        <f>IF(B92="","",_xlfn.XLOOKUP(B92,'Fund Data'!$A$2:$A$1971,'Fund Data'!$B$2:$B$1971,0,-1))</f>
        <v>843.69</v>
      </c>
      <c r="D92" s="9">
        <f t="shared" si="11"/>
        <v>13.965185080819825</v>
      </c>
      <c r="E92" s="9">
        <f t="shared" si="12"/>
        <v>1727.3023832095635</v>
      </c>
      <c r="F92" s="10">
        <f t="shared" si="13"/>
        <v>1457307.7476900767</v>
      </c>
      <c r="G92" s="6">
        <f t="shared" si="14"/>
        <v>11782.287000836879</v>
      </c>
      <c r="H92" s="23">
        <f>IF(B92="","",XIRR(_xlfn.VSTACK(I$9:I91,K92),_xlfn.VSTACK(J$9:J91,B92)))</f>
        <v>0.15076474547386171</v>
      </c>
      <c r="I92" s="29">
        <f t="shared" si="8"/>
        <v>11782.287000836879</v>
      </c>
      <c r="J92" s="30">
        <f t="shared" si="15"/>
        <v>45777</v>
      </c>
      <c r="K92">
        <f t="shared" si="9"/>
        <v>1457307.7476900767</v>
      </c>
    </row>
    <row r="93" spans="1:11" x14ac:dyDescent="0.3">
      <c r="A93" s="8">
        <f t="shared" si="10"/>
        <v>84</v>
      </c>
      <c r="B93" s="19">
        <f>_xlfn.LET(_xlpm.d,EDATE($C$3,ROW()-9),IF(_xlpm.d&gt;$C$4,"",_xlfn.XLOOKUP(_xlpm.d,'Fund Data'!$A$2:$A$1971,'Fund Data'!$A$2:$A$1971,0,-1)))</f>
        <v>45807</v>
      </c>
      <c r="C93" s="20">
        <f>IF(B93="","",_xlfn.XLOOKUP(B93,'Fund Data'!$A$2:$A$1971,'Fund Data'!$B$2:$B$1971,0,-1))</f>
        <v>875.15</v>
      </c>
      <c r="D93" s="9">
        <f t="shared" si="11"/>
        <v>13.876742536423057</v>
      </c>
      <c r="E93" s="9">
        <f t="shared" si="12"/>
        <v>1713.4256406731404</v>
      </c>
      <c r="F93" s="10">
        <f t="shared" si="13"/>
        <v>1499504.4494350988</v>
      </c>
      <c r="G93" s="6">
        <f t="shared" si="14"/>
        <v>12144.231230750638</v>
      </c>
      <c r="H93" s="23">
        <f>IF(B93="","",XIRR(_xlfn.VSTACK(I$9:I92,K93),_xlfn.VSTACK(J$9:J92,B93)))</f>
        <v>0.15368977189064029</v>
      </c>
      <c r="I93" s="29">
        <f t="shared" si="8"/>
        <v>12144.231230750638</v>
      </c>
      <c r="J93" s="30">
        <f t="shared" si="15"/>
        <v>45807</v>
      </c>
      <c r="K93">
        <f t="shared" si="9"/>
        <v>1499504.4494350988</v>
      </c>
    </row>
    <row r="94" spans="1:11" x14ac:dyDescent="0.3">
      <c r="A94" s="8">
        <f t="shared" si="10"/>
        <v>85</v>
      </c>
      <c r="B94" s="19">
        <f>_xlfn.LET(_xlpm.d,EDATE($C$3,ROW()-9),IF(_xlpm.d&gt;$C$4,"",_xlfn.XLOOKUP(_xlpm.d,'Fund Data'!$A$2:$A$1971,'Fund Data'!$A$2:$A$1971,0,-1)))</f>
        <v>45839</v>
      </c>
      <c r="C94" s="20">
        <f>IF(B94="","",_xlfn.XLOOKUP(B94,'Fund Data'!$A$2:$A$1971,'Fund Data'!$B$2:$B$1971,0,-1))</f>
        <v>894.14</v>
      </c>
      <c r="D94" s="9">
        <f t="shared" si="11"/>
        <v>13.97529515731223</v>
      </c>
      <c r="E94" s="9">
        <f t="shared" si="12"/>
        <v>1699.4503455158281</v>
      </c>
      <c r="F94" s="10">
        <f t="shared" si="13"/>
        <v>1519546.5319395226</v>
      </c>
      <c r="G94" s="6">
        <f t="shared" si="14"/>
        <v>12495.870411959157</v>
      </c>
      <c r="H94" s="23">
        <f>IF(B94="","",XIRR(_xlfn.VSTACK(I$9:I93,K94),_xlfn.VSTACK(J$9:J93,B94)))</f>
        <v>0.15471132397651677</v>
      </c>
      <c r="I94" s="29">
        <f t="shared" si="8"/>
        <v>12495.870411959157</v>
      </c>
      <c r="J94" s="30">
        <f t="shared" si="15"/>
        <v>45839</v>
      </c>
      <c r="K94">
        <f t="shared" si="9"/>
        <v>1519546.5319395226</v>
      </c>
    </row>
    <row r="95" spans="1:11" x14ac:dyDescent="0.3">
      <c r="A95" s="8">
        <f t="shared" si="10"/>
        <v>86</v>
      </c>
      <c r="B95" s="19">
        <f>_xlfn.LET(_xlpm.d,EDATE($C$3,ROW()-9),IF(_xlpm.d&gt;$C$4,"",_xlfn.XLOOKUP(_xlpm.d,'Fund Data'!$A$2:$A$1971,'Fund Data'!$A$2:$A$1971,0,-1)))</f>
        <v>45870</v>
      </c>
      <c r="C95" s="20">
        <f>IF(B95="","",_xlfn.XLOOKUP(B95,'Fund Data'!$A$2:$A$1971,'Fund Data'!$B$2:$B$1971,0,-1))</f>
        <v>875.92</v>
      </c>
      <c r="D95" s="9">
        <f t="shared" si="11"/>
        <v>14.456671575215418</v>
      </c>
      <c r="E95" s="9">
        <f t="shared" si="12"/>
        <v>1684.9936739406126</v>
      </c>
      <c r="F95" s="10">
        <f t="shared" si="13"/>
        <v>1475919.6588780612</v>
      </c>
      <c r="G95" s="6">
        <f t="shared" si="14"/>
        <v>12662.887766162688</v>
      </c>
      <c r="H95" s="23">
        <f>IF(B95="","",XIRR(_xlfn.VSTACK(I$9:I94,K95),_xlfn.VSTACK(J$9:J94,B95)))</f>
        <v>0.15097960829734805</v>
      </c>
      <c r="I95" s="29">
        <f t="shared" si="8"/>
        <v>12662.887766162688</v>
      </c>
      <c r="J95" s="30">
        <f t="shared" si="15"/>
        <v>45870</v>
      </c>
      <c r="K95">
        <f t="shared" si="9"/>
        <v>1475919.6588780612</v>
      </c>
    </row>
    <row r="96" spans="1:11" x14ac:dyDescent="0.3">
      <c r="A96" s="8">
        <f t="shared" si="10"/>
        <v>87</v>
      </c>
      <c r="B96" s="19">
        <f>_xlfn.LET(_xlpm.d,EDATE($C$3,ROW()-9),IF(_xlpm.d&gt;$C$4,"",_xlfn.XLOOKUP(_xlpm.d,'Fund Data'!$A$2:$A$1971,'Fund Data'!$A$2:$A$1971,0,-1)))</f>
        <v>45901</v>
      </c>
      <c r="C96" s="20">
        <f>IF(B96="","",_xlfn.XLOOKUP(B96,'Fund Data'!$A$2:$A$1971,'Fund Data'!$B$2:$B$1971,0,-1))</f>
        <v>873.29</v>
      </c>
      <c r="D96" s="9">
        <f t="shared" si="11"/>
        <v>14.083901671438479</v>
      </c>
      <c r="E96" s="9">
        <f t="shared" si="12"/>
        <v>1670.909772269174</v>
      </c>
      <c r="F96" s="10">
        <f t="shared" si="13"/>
        <v>1459188.795024947</v>
      </c>
      <c r="G96" s="6">
        <f t="shared" si="14"/>
        <v>12299.330490650509</v>
      </c>
      <c r="H96" s="23">
        <f>IF(B96="","",XIRR(_xlfn.VSTACK(I$9:I95,K96),_xlfn.VSTACK(J$9:J95,B96)))</f>
        <v>0.14935886263847351</v>
      </c>
      <c r="I96" s="29">
        <f t="shared" si="8"/>
        <v>12299.330490650509</v>
      </c>
      <c r="J96" s="30">
        <f t="shared" si="15"/>
        <v>45901</v>
      </c>
      <c r="K96">
        <f t="shared" si="9"/>
        <v>1459188.795024947</v>
      </c>
    </row>
    <row r="97" spans="1:11" x14ac:dyDescent="0.3">
      <c r="A97" s="8">
        <f t="shared" si="10"/>
        <v>88</v>
      </c>
      <c r="B97" s="19">
        <f>_xlfn.LET(_xlpm.d,EDATE($C$3,ROW()-9),IF(_xlpm.d&gt;$C$4,"",_xlfn.XLOOKUP(_xlpm.d,'Fund Data'!$A$2:$A$1971,'Fund Data'!$A$2:$A$1971,0,-1)))</f>
        <v>45931</v>
      </c>
      <c r="C97" s="20">
        <f>IF(B97="","",_xlfn.XLOOKUP(B97,'Fund Data'!$A$2:$A$1971,'Fund Data'!$B$2:$B$1971,0,-1))</f>
        <v>874.98</v>
      </c>
      <c r="D97" s="9">
        <f t="shared" si="11"/>
        <v>13.897353796895805</v>
      </c>
      <c r="E97" s="9">
        <f t="shared" si="12"/>
        <v>1657.0124184722781</v>
      </c>
      <c r="F97" s="10">
        <f t="shared" si="13"/>
        <v>1449852.7259148739</v>
      </c>
      <c r="G97" s="6">
        <f t="shared" si="14"/>
        <v>12159.906625207892</v>
      </c>
      <c r="H97" s="23">
        <f>IF(B97="","",XIRR(_xlfn.VSTACK(I$9:I96,K97),_xlfn.VSTACK(J$9:J96,B97)))</f>
        <v>0.1483453929424286</v>
      </c>
      <c r="I97" s="29">
        <f t="shared" si="8"/>
        <v>12159.906625207892</v>
      </c>
      <c r="J97" s="30">
        <f t="shared" si="15"/>
        <v>45931</v>
      </c>
      <c r="K97">
        <f t="shared" si="9"/>
        <v>1449852.7259148739</v>
      </c>
    </row>
    <row r="98" spans="1:11" x14ac:dyDescent="0.3">
      <c r="A98" s="8">
        <f t="shared" si="10"/>
        <v>89</v>
      </c>
      <c r="B98" s="19">
        <f>_xlfn.LET(_xlpm.d,EDATE($C$3,ROW()-9),IF(_xlpm.d&gt;$C$4,"",_xlfn.XLOOKUP(_xlpm.d,'Fund Data'!$A$2:$A$1971,'Fund Data'!$A$2:$A$1971,0,-1)))</f>
        <v>45961</v>
      </c>
      <c r="C98" s="20">
        <f>IF(B98="","",_xlfn.XLOOKUP(B98,'Fund Data'!$A$2:$A$1971,'Fund Data'!$B$2:$B$1971,0,-1))</f>
        <v>899.87</v>
      </c>
      <c r="D98" s="9">
        <f t="shared" si="11"/>
        <v>13.426501660562765</v>
      </c>
      <c r="E98" s="9">
        <f t="shared" si="12"/>
        <v>1643.5859168117154</v>
      </c>
      <c r="F98" s="10">
        <f t="shared" si="13"/>
        <v>1479013.6589613582</v>
      </c>
      <c r="G98" s="6">
        <f t="shared" si="14"/>
        <v>12082.106049290616</v>
      </c>
      <c r="H98" s="23">
        <f>IF(B98="","",XIRR(_xlfn.VSTACK(I$9:I97,K98),_xlfn.VSTACK(J$9:J97,B98)))</f>
        <v>0.15014867186546327</v>
      </c>
      <c r="I98" s="29">
        <f t="shared" si="8"/>
        <v>12082.106049290616</v>
      </c>
      <c r="J98" s="30">
        <f t="shared" si="15"/>
        <v>45961</v>
      </c>
      <c r="K98">
        <f t="shared" si="9"/>
        <v>1479013.6589613582</v>
      </c>
    </row>
    <row r="99" spans="1:11" x14ac:dyDescent="0.3">
      <c r="A99" s="8">
        <f t="shared" si="10"/>
        <v>90</v>
      </c>
      <c r="B99" s="19">
        <f>_xlfn.LET(_xlpm.d,EDATE($C$3,ROW()-9),IF(_xlpm.d&gt;$C$4,"",_xlfn.XLOOKUP(_xlpm.d,'Fund Data'!$A$2:$A$1971,'Fund Data'!$A$2:$A$1971,0,-1)))</f>
        <v>45992</v>
      </c>
      <c r="C99" s="20">
        <f>IF(B99="","",_xlfn.XLOOKUP(B99,'Fund Data'!$A$2:$A$1971,'Fund Data'!$B$2:$B$1971,0,-1))</f>
        <v>897.22</v>
      </c>
      <c r="D99" s="9">
        <f t="shared" si="11"/>
        <v>13.737002992218169</v>
      </c>
      <c r="E99" s="9">
        <f t="shared" si="12"/>
        <v>1629.8489138194973</v>
      </c>
      <c r="F99" s="10">
        <f t="shared" si="13"/>
        <v>1462333.0424571293</v>
      </c>
      <c r="G99" s="6">
        <f t="shared" si="14"/>
        <v>12325.113824677986</v>
      </c>
      <c r="H99" s="23">
        <f>IF(B99="","",XIRR(_xlfn.VSTACK(I$9:I98,K99),_xlfn.VSTACK(J$9:J98,B99)))</f>
        <v>0.14857704043388367</v>
      </c>
      <c r="I99" s="29">
        <f t="shared" si="8"/>
        <v>12325.113824677986</v>
      </c>
      <c r="J99" s="30">
        <f t="shared" si="15"/>
        <v>45992</v>
      </c>
      <c r="K99">
        <f t="shared" si="9"/>
        <v>1462333.0424571293</v>
      </c>
    </row>
    <row r="100" spans="1:11" x14ac:dyDescent="0.3">
      <c r="A100" s="8">
        <f t="shared" si="10"/>
        <v>91</v>
      </c>
      <c r="B100" s="19">
        <f>_xlfn.LET(_xlpm.d,EDATE($C$3,ROW()-9),IF(_xlpm.d&gt;$C$4,"",_xlfn.XLOOKUP(_xlpm.d,'Fund Data'!$A$2:$A$1971,'Fund Data'!$A$2:$A$1971,0,-1)))</f>
        <v>46023</v>
      </c>
      <c r="C100" s="20">
        <f>IF(B100="","",_xlfn.XLOOKUP(B100,'Fund Data'!$A$2:$A$1971,'Fund Data'!$B$2:$B$1971,0,-1))</f>
        <v>905.66</v>
      </c>
      <c r="D100" s="9">
        <f t="shared" si="11"/>
        <v>13.455500615178705</v>
      </c>
      <c r="E100" s="9">
        <f t="shared" si="12"/>
        <v>1616.3934132043187</v>
      </c>
      <c r="F100" s="10">
        <f t="shared" si="13"/>
        <v>1463902.8586026232</v>
      </c>
      <c r="G100" s="6">
        <f t="shared" si="14"/>
        <v>12186.108687142745</v>
      </c>
      <c r="H100" s="23">
        <f>IF(B100="","",XIRR(_xlfn.VSTACK(I$9:I99,K100),_xlfn.VSTACK(J$9:J99,B100)))</f>
        <v>0.14834828972816469</v>
      </c>
      <c r="I100" s="29">
        <f t="shared" si="8"/>
        <v>12186.108687142745</v>
      </c>
      <c r="J100" s="30">
        <f t="shared" si="15"/>
        <v>46023</v>
      </c>
      <c r="K100">
        <f t="shared" si="9"/>
        <v>1463902.8586026232</v>
      </c>
    </row>
    <row r="101" spans="1:11" x14ac:dyDescent="0.3">
      <c r="A101" s="8">
        <f t="shared" si="10"/>
        <v>92</v>
      </c>
      <c r="B101" s="19">
        <f>_xlfn.LET(_xlpm.d,EDATE($C$3,ROW()-9),IF(_xlpm.d&gt;$C$4,"",_xlfn.XLOOKUP(_xlpm.d,'Fund Data'!$A$2:$A$1971,'Fund Data'!$A$2:$A$1971,0,-1)))</f>
        <v>46052</v>
      </c>
      <c r="C101" s="20">
        <f>IF(B101="","",_xlfn.XLOOKUP(B101,'Fund Data'!$A$2:$A$1971,'Fund Data'!$B$2:$B$1971,0,-1))</f>
        <v>876.82</v>
      </c>
      <c r="D101" s="9">
        <f t="shared" si="11"/>
        <v>13.912992961332076</v>
      </c>
      <c r="E101" s="9">
        <f t="shared" si="12"/>
        <v>1602.4804202429866</v>
      </c>
      <c r="F101" s="10">
        <f t="shared" si="13"/>
        <v>1405086.8820774555</v>
      </c>
      <c r="G101" s="6">
        <f t="shared" si="14"/>
        <v>12199.190488355192</v>
      </c>
      <c r="H101" s="23">
        <f>IF(B101="","",XIRR(_xlfn.VSTACK(I$9:I100,K101),_xlfn.VSTACK(J$9:J100,B101)))</f>
        <v>0.1439695537090302</v>
      </c>
      <c r="I101" s="29">
        <f t="shared" si="8"/>
        <v>12199.190488355192</v>
      </c>
      <c r="J101" s="30">
        <f t="shared" si="15"/>
        <v>46052</v>
      </c>
      <c r="K101">
        <f t="shared" si="9"/>
        <v>1405086.8820774555</v>
      </c>
    </row>
    <row r="102" spans="1:11" x14ac:dyDescent="0.3">
      <c r="A102" s="8">
        <f t="shared" si="10"/>
        <v>93</v>
      </c>
      <c r="B102" s="19">
        <f>_xlfn.LET(_xlpm.d,EDATE($C$3,ROW()-9),IF(_xlpm.d&gt;$C$4,"",_xlfn.XLOOKUP(_xlpm.d,'Fund Data'!$A$2:$A$1971,'Fund Data'!$A$2:$A$1971,0,-1)))</f>
        <v>46080</v>
      </c>
      <c r="C102" s="20">
        <f>IF(B102="","",_xlfn.XLOOKUP(B102,'Fund Data'!$A$2:$A$1971,'Fund Data'!$B$2:$B$1971,0,-1))</f>
        <v>898.92</v>
      </c>
      <c r="D102" s="9">
        <f t="shared" si="11"/>
        <v>13.025694556407091</v>
      </c>
      <c r="E102" s="9">
        <f t="shared" si="12"/>
        <v>1589.4547256865794</v>
      </c>
      <c r="F102" s="10">
        <f t="shared" si="13"/>
        <v>1428792.6420141798</v>
      </c>
      <c r="G102" s="6">
        <f t="shared" si="14"/>
        <v>11709.057350645462</v>
      </c>
      <c r="H102" s="23">
        <f>IF(B102="","",XIRR(_xlfn.VSTACK(I$9:I101,K102),_xlfn.VSTACK(J$9:J101,B102)))</f>
        <v>0.14545785784721371</v>
      </c>
      <c r="I102" s="29">
        <f t="shared" si="8"/>
        <v>11709.057350645462</v>
      </c>
      <c r="J102" s="30">
        <f t="shared" si="15"/>
        <v>46080</v>
      </c>
      <c r="K102">
        <f t="shared" si="9"/>
        <v>1428792.6420141798</v>
      </c>
    </row>
    <row r="103" spans="1:11" x14ac:dyDescent="0.3">
      <c r="A103" s="8">
        <f t="shared" si="10"/>
        <v>94</v>
      </c>
      <c r="B103" s="19">
        <f>_xlfn.LET(_xlpm.d,EDATE($C$3,ROW()-9),IF(_xlpm.d&gt;$C$4,"",_xlfn.XLOOKUP(_xlpm.d,'Fund Data'!$A$2:$A$1971,'Fund Data'!$A$2:$A$1971,0,-1)))</f>
        <v>46113</v>
      </c>
      <c r="C103" s="20">
        <f>IF(B103="","",_xlfn.XLOOKUP(B103,'Fund Data'!$A$2:$A$1971,'Fund Data'!$B$2:$B$1971,0,-1))</f>
        <v>821.7</v>
      </c>
      <c r="D103" s="9">
        <f t="shared" si="11"/>
        <v>14.490209748227048</v>
      </c>
      <c r="E103" s="9">
        <f t="shared" si="12"/>
        <v>1574.9645159383524</v>
      </c>
      <c r="F103" s="10">
        <f t="shared" si="13"/>
        <v>1294148.3427465442</v>
      </c>
      <c r="G103" s="6">
        <f t="shared" si="14"/>
        <v>11906.605350118167</v>
      </c>
      <c r="H103" s="23">
        <f>IF(B103="","",XIRR(_xlfn.VSTACK(I$9:I102,K103),_xlfn.VSTACK(J$9:J102,B103)))</f>
        <v>0.13563287854194639</v>
      </c>
      <c r="I103" s="29">
        <f t="shared" si="8"/>
        <v>11906.605350118167</v>
      </c>
      <c r="J103" s="30">
        <f t="shared" si="15"/>
        <v>46113</v>
      </c>
      <c r="K103">
        <f t="shared" si="9"/>
        <v>1294148.3427465442</v>
      </c>
    </row>
    <row r="104" spans="1:11" x14ac:dyDescent="0.3">
      <c r="A104" s="8">
        <f t="shared" si="10"/>
        <v>95</v>
      </c>
      <c r="B104" s="19" t="str">
        <f>_xlfn.LET(_xlpm.d,EDATE($C$3,ROW()-9),IF(_xlpm.d&gt;$C$4,"",_xlfn.XLOOKUP(_xlpm.d,'Fund Data'!$A$2:$A$1971,'Fund Data'!$A$2:$A$1971,0,-1)))</f>
        <v/>
      </c>
      <c r="C104" s="20" t="str">
        <f>IF(B104="","",_xlfn.XLOOKUP(B104,'Fund Data'!$A$2:$A$1971,'Fund Data'!$B$2:$B$1971,0,-1))</f>
        <v/>
      </c>
      <c r="D104" s="9" t="str">
        <f t="shared" si="11"/>
        <v/>
      </c>
      <c r="E104" s="9" t="str">
        <f t="shared" si="12"/>
        <v/>
      </c>
      <c r="F104" s="10" t="str">
        <f t="shared" si="13"/>
        <v/>
      </c>
      <c r="G104" s="6" t="str">
        <f t="shared" si="14"/>
        <v/>
      </c>
      <c r="H104" s="23" t="str">
        <f>IF(B104="","",XIRR(_xlfn.VSTACK(I$10:I103,K104),_xlfn.VSTACK(J$10:J103,B104)))</f>
        <v/>
      </c>
      <c r="I104" s="29" t="str">
        <f t="shared" ref="I76:I105" si="16">IF(B104="","",G104+IF(B105="",F104,0))</f>
        <v/>
      </c>
      <c r="J104" s="30" t="str">
        <f t="shared" si="15"/>
        <v/>
      </c>
      <c r="K104" t="str">
        <f>IF(B104="","",G104+F104)</f>
        <v/>
      </c>
    </row>
    <row r="105" spans="1:11" x14ac:dyDescent="0.3">
      <c r="A105" s="8">
        <f t="shared" si="10"/>
        <v>96</v>
      </c>
      <c r="B105" s="19" t="str">
        <f>_xlfn.LET(_xlpm.d,EDATE($C$3,ROW()-9),IF(_xlpm.d&gt;$C$4,"",_xlfn.XLOOKUP(_xlpm.d,'Fund Data'!$A$2:$A$1971,'Fund Data'!$A$2:$A$1971,0,-1)))</f>
        <v/>
      </c>
      <c r="C105" s="20" t="str">
        <f>IF(B105="","",_xlfn.XLOOKUP(B105,'Fund Data'!$A$2:$A$1971,'Fund Data'!$B$2:$B$1971,0,-1))</f>
        <v/>
      </c>
      <c r="D105" s="9" t="str">
        <f t="shared" si="11"/>
        <v/>
      </c>
      <c r="E105" s="9" t="str">
        <f t="shared" si="12"/>
        <v/>
      </c>
      <c r="F105" s="10" t="str">
        <f t="shared" si="13"/>
        <v/>
      </c>
      <c r="G105" s="6" t="str">
        <f t="shared" si="14"/>
        <v/>
      </c>
      <c r="H105" s="23" t="str">
        <f>IF(B105="","",XIRR(_xlfn.VSTACK(I$10:I104,K105),_xlfn.VSTACK(J$10:J104,B105)))</f>
        <v/>
      </c>
      <c r="I105" s="29" t="str">
        <f t="shared" si="16"/>
        <v/>
      </c>
      <c r="J105" s="30" t="str">
        <f t="shared" si="15"/>
        <v/>
      </c>
      <c r="K105" t="str">
        <f>IF(B105="","",G105+F105)</f>
        <v/>
      </c>
    </row>
  </sheetData>
  <mergeCells count="1">
    <mergeCell ref="A1:G1"/>
  </mergeCells>
  <conditionalFormatting sqref="G5:G6">
    <cfRule type="cellIs" dxfId="5" priority="1" operator="greaterThan">
      <formula>0</formula>
    </cfRule>
  </conditionalFormatting>
  <conditionalFormatting sqref="G5:G6">
    <cfRule type="cellIs" dxfId="4" priority="2" operator="lessThan">
      <formula>0</formula>
    </cfRule>
  </conditionalFormatting>
  <conditionalFormatting sqref="H10:H105">
    <cfRule type="cellIs" dxfId="1" priority="3" operator="greaterThan">
      <formula>0</formula>
    </cfRule>
  </conditionalFormatting>
  <conditionalFormatting sqref="H10:H105">
    <cfRule type="cellIs" dxfId="0" priority="4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AABD-DD21-411F-98F4-F9146BAABBE2}">
  <dimension ref="A1:B1971"/>
  <sheetViews>
    <sheetView workbookViewId="0">
      <selection activeCell="I19" sqref="I19"/>
    </sheetView>
  </sheetViews>
  <sheetFormatPr defaultRowHeight="14.4" x14ac:dyDescent="0.3"/>
  <cols>
    <col min="1" max="1" width="20.33203125" customWidth="1"/>
    <col min="2" max="2" width="14.77734375" customWidth="1"/>
    <col min="6" max="6" width="8.5546875" bestFit="1" customWidth="1"/>
    <col min="7" max="7" width="6" bestFit="1" customWidth="1"/>
    <col min="8" max="8" width="10.77734375" bestFit="1" customWidth="1"/>
    <col min="10" max="10" width="16" customWidth="1"/>
  </cols>
  <sheetData>
    <row r="1" spans="1:2" ht="19.95" customHeight="1" x14ac:dyDescent="0.3">
      <c r="A1" s="2" t="s">
        <v>0</v>
      </c>
      <c r="B1" s="2" t="s">
        <v>4</v>
      </c>
    </row>
    <row r="2" spans="1:2" x14ac:dyDescent="0.3">
      <c r="A2" s="3">
        <v>43207</v>
      </c>
      <c r="B2" s="4">
        <v>287.95999999999998</v>
      </c>
    </row>
    <row r="3" spans="1:2" x14ac:dyDescent="0.3">
      <c r="A3" s="11">
        <v>43208</v>
      </c>
      <c r="B3" s="12">
        <v>288.52</v>
      </c>
    </row>
    <row r="4" spans="1:2" x14ac:dyDescent="0.3">
      <c r="A4" s="3">
        <v>43209</v>
      </c>
      <c r="B4" s="4">
        <v>289.22000000000003</v>
      </c>
    </row>
    <row r="5" spans="1:2" x14ac:dyDescent="0.3">
      <c r="A5" s="11">
        <v>43210</v>
      </c>
      <c r="B5" s="12">
        <v>288.64</v>
      </c>
    </row>
    <row r="6" spans="1:2" x14ac:dyDescent="0.3">
      <c r="A6" s="3">
        <v>43213</v>
      </c>
      <c r="B6" s="4">
        <v>289.17</v>
      </c>
    </row>
    <row r="7" spans="1:2" x14ac:dyDescent="0.3">
      <c r="A7" s="11">
        <v>43214</v>
      </c>
      <c r="B7" s="12">
        <v>289.95999999999998</v>
      </c>
    </row>
    <row r="8" spans="1:2" x14ac:dyDescent="0.3">
      <c r="A8" s="3">
        <v>43215</v>
      </c>
      <c r="B8" s="4">
        <v>288.11</v>
      </c>
    </row>
    <row r="9" spans="1:2" x14ac:dyDescent="0.3">
      <c r="A9" s="11">
        <v>43216</v>
      </c>
      <c r="B9" s="12">
        <v>287.81</v>
      </c>
    </row>
    <row r="10" spans="1:2" x14ac:dyDescent="0.3">
      <c r="A10" s="3">
        <v>43217</v>
      </c>
      <c r="B10" s="4">
        <v>290.5</v>
      </c>
    </row>
    <row r="11" spans="1:2" x14ac:dyDescent="0.3">
      <c r="A11" s="11">
        <v>43220</v>
      </c>
      <c r="B11" s="12">
        <v>291.32</v>
      </c>
    </row>
    <row r="12" spans="1:2" x14ac:dyDescent="0.3">
      <c r="A12" s="3">
        <v>43222</v>
      </c>
      <c r="B12" s="4">
        <v>289.02999999999997</v>
      </c>
    </row>
    <row r="13" spans="1:2" x14ac:dyDescent="0.3">
      <c r="A13" s="11">
        <v>43223</v>
      </c>
      <c r="B13" s="12">
        <v>288.83999999999997</v>
      </c>
    </row>
    <row r="14" spans="1:2" x14ac:dyDescent="0.3">
      <c r="A14" s="3">
        <v>43224</v>
      </c>
      <c r="B14" s="4">
        <v>286.31</v>
      </c>
    </row>
    <row r="15" spans="1:2" x14ac:dyDescent="0.3">
      <c r="A15" s="11">
        <v>43227</v>
      </c>
      <c r="B15" s="12">
        <v>288.67</v>
      </c>
    </row>
    <row r="16" spans="1:2" x14ac:dyDescent="0.3">
      <c r="A16" s="3">
        <v>43228</v>
      </c>
      <c r="B16" s="4">
        <v>289.22000000000003</v>
      </c>
    </row>
    <row r="17" spans="1:2" x14ac:dyDescent="0.3">
      <c r="A17" s="11">
        <v>43229</v>
      </c>
      <c r="B17" s="12">
        <v>288.17</v>
      </c>
    </row>
    <row r="18" spans="1:2" x14ac:dyDescent="0.3">
      <c r="A18" s="3">
        <v>43230</v>
      </c>
      <c r="B18" s="4">
        <v>287.68</v>
      </c>
    </row>
    <row r="19" spans="1:2" x14ac:dyDescent="0.3">
      <c r="A19" s="11">
        <v>43231</v>
      </c>
      <c r="B19" s="12">
        <v>288.23</v>
      </c>
    </row>
    <row r="20" spans="1:2" x14ac:dyDescent="0.3">
      <c r="A20" s="3">
        <v>43234</v>
      </c>
      <c r="B20" s="4">
        <v>288.69</v>
      </c>
    </row>
    <row r="21" spans="1:2" x14ac:dyDescent="0.3">
      <c r="A21" s="11">
        <v>43235</v>
      </c>
      <c r="B21" s="12">
        <v>287.11</v>
      </c>
    </row>
    <row r="22" spans="1:2" x14ac:dyDescent="0.3">
      <c r="A22" s="3">
        <v>43236</v>
      </c>
      <c r="B22" s="4">
        <v>285.95</v>
      </c>
    </row>
    <row r="23" spans="1:2" x14ac:dyDescent="0.3">
      <c r="A23" s="11">
        <v>43237</v>
      </c>
      <c r="B23" s="12">
        <v>285.33999999999997</v>
      </c>
    </row>
    <row r="24" spans="1:2" x14ac:dyDescent="0.3">
      <c r="A24" s="3">
        <v>43238</v>
      </c>
      <c r="B24" s="4">
        <v>282.08999999999997</v>
      </c>
    </row>
    <row r="25" spans="1:2" x14ac:dyDescent="0.3">
      <c r="A25" s="11">
        <v>43241</v>
      </c>
      <c r="B25" s="12">
        <v>280.18</v>
      </c>
    </row>
    <row r="26" spans="1:2" x14ac:dyDescent="0.3">
      <c r="A26" s="3">
        <v>43242</v>
      </c>
      <c r="B26" s="4">
        <v>282.69</v>
      </c>
    </row>
    <row r="27" spans="1:2" x14ac:dyDescent="0.3">
      <c r="A27" s="11">
        <v>43243</v>
      </c>
      <c r="B27" s="12">
        <v>280.58</v>
      </c>
    </row>
    <row r="28" spans="1:2" x14ac:dyDescent="0.3">
      <c r="A28" s="3">
        <v>43244</v>
      </c>
      <c r="B28" s="4">
        <v>280.79000000000002</v>
      </c>
    </row>
    <row r="29" spans="1:2" x14ac:dyDescent="0.3">
      <c r="A29" s="11">
        <v>43245</v>
      </c>
      <c r="B29" s="12">
        <v>282.97000000000003</v>
      </c>
    </row>
    <row r="30" spans="1:2" x14ac:dyDescent="0.3">
      <c r="A30" s="3">
        <v>43248</v>
      </c>
      <c r="B30" s="4">
        <v>288.17</v>
      </c>
    </row>
    <row r="31" spans="1:2" x14ac:dyDescent="0.3">
      <c r="A31" s="11">
        <v>43249</v>
      </c>
      <c r="B31" s="12">
        <v>287.08999999999997</v>
      </c>
    </row>
    <row r="32" spans="1:2" x14ac:dyDescent="0.3">
      <c r="A32" s="3">
        <v>43250</v>
      </c>
      <c r="B32" s="4">
        <v>286.26</v>
      </c>
    </row>
    <row r="33" spans="1:2" x14ac:dyDescent="0.3">
      <c r="A33" s="11">
        <v>43251</v>
      </c>
      <c r="B33" s="12">
        <v>286.99</v>
      </c>
    </row>
    <row r="34" spans="1:2" x14ac:dyDescent="0.3">
      <c r="A34" s="3">
        <v>43252</v>
      </c>
      <c r="B34" s="4">
        <v>286.38</v>
      </c>
    </row>
    <row r="35" spans="1:2" x14ac:dyDescent="0.3">
      <c r="A35" s="11">
        <v>43255</v>
      </c>
      <c r="B35" s="12">
        <v>284.64999999999998</v>
      </c>
    </row>
    <row r="36" spans="1:2" x14ac:dyDescent="0.3">
      <c r="A36" s="3">
        <v>43256</v>
      </c>
      <c r="B36" s="4">
        <v>282.05</v>
      </c>
    </row>
    <row r="37" spans="1:2" x14ac:dyDescent="0.3">
      <c r="A37" s="11">
        <v>43257</v>
      </c>
      <c r="B37" s="12">
        <v>284.95999999999998</v>
      </c>
    </row>
    <row r="38" spans="1:2" x14ac:dyDescent="0.3">
      <c r="A38" s="3">
        <v>43258</v>
      </c>
      <c r="B38" s="4">
        <v>286.39</v>
      </c>
    </row>
    <row r="39" spans="1:2" x14ac:dyDescent="0.3">
      <c r="A39" s="11">
        <v>43259</v>
      </c>
      <c r="B39" s="12">
        <v>288.42</v>
      </c>
    </row>
    <row r="40" spans="1:2" x14ac:dyDescent="0.3">
      <c r="A40" s="3">
        <v>43262</v>
      </c>
      <c r="B40" s="4">
        <v>290</v>
      </c>
    </row>
    <row r="41" spans="1:2" x14ac:dyDescent="0.3">
      <c r="A41" s="11">
        <v>43263</v>
      </c>
      <c r="B41" s="12">
        <v>290.98</v>
      </c>
    </row>
    <row r="42" spans="1:2" x14ac:dyDescent="0.3">
      <c r="A42" s="3">
        <v>43264</v>
      </c>
      <c r="B42" s="4">
        <v>291.63</v>
      </c>
    </row>
    <row r="43" spans="1:2" x14ac:dyDescent="0.3">
      <c r="A43" s="11">
        <v>43265</v>
      </c>
      <c r="B43" s="12">
        <v>291.23</v>
      </c>
    </row>
    <row r="44" spans="1:2" x14ac:dyDescent="0.3">
      <c r="A44" s="3">
        <v>43266</v>
      </c>
      <c r="B44" s="4">
        <v>291.33</v>
      </c>
    </row>
    <row r="45" spans="1:2" x14ac:dyDescent="0.3">
      <c r="A45" s="11">
        <v>43269</v>
      </c>
      <c r="B45" s="12">
        <v>290.79000000000002</v>
      </c>
    </row>
    <row r="46" spans="1:2" x14ac:dyDescent="0.3">
      <c r="A46" s="3">
        <v>43270</v>
      </c>
      <c r="B46" s="4">
        <v>288.69</v>
      </c>
    </row>
    <row r="47" spans="1:2" x14ac:dyDescent="0.3">
      <c r="A47" s="11">
        <v>43271</v>
      </c>
      <c r="B47" s="12">
        <v>288.83999999999997</v>
      </c>
    </row>
    <row r="48" spans="1:2" x14ac:dyDescent="0.3">
      <c r="A48" s="3">
        <v>43272</v>
      </c>
      <c r="B48" s="4">
        <v>287.64</v>
      </c>
    </row>
    <row r="49" spans="1:2" x14ac:dyDescent="0.3">
      <c r="A49" s="11">
        <v>43273</v>
      </c>
      <c r="B49" s="12">
        <v>289.05</v>
      </c>
    </row>
    <row r="50" spans="1:2" x14ac:dyDescent="0.3">
      <c r="A50" s="3">
        <v>43276</v>
      </c>
      <c r="B50" s="4">
        <v>286.85000000000002</v>
      </c>
    </row>
    <row r="51" spans="1:2" x14ac:dyDescent="0.3">
      <c r="A51" s="11">
        <v>43277</v>
      </c>
      <c r="B51" s="12">
        <v>287.16000000000003</v>
      </c>
    </row>
    <row r="52" spans="1:2" x14ac:dyDescent="0.3">
      <c r="A52" s="3">
        <v>43278</v>
      </c>
      <c r="B52" s="4">
        <v>284.05</v>
      </c>
    </row>
    <row r="53" spans="1:2" x14ac:dyDescent="0.3">
      <c r="A53" s="11">
        <v>43279</v>
      </c>
      <c r="B53" s="12">
        <v>281.70999999999998</v>
      </c>
    </row>
    <row r="54" spans="1:2" x14ac:dyDescent="0.3">
      <c r="A54" s="3">
        <v>43280</v>
      </c>
      <c r="B54" s="4">
        <v>285.73</v>
      </c>
    </row>
    <row r="55" spans="1:2" x14ac:dyDescent="0.3">
      <c r="A55" s="11">
        <v>43283</v>
      </c>
      <c r="B55" s="12">
        <v>285.51</v>
      </c>
    </row>
    <row r="56" spans="1:2" x14ac:dyDescent="0.3">
      <c r="A56" s="3">
        <v>43284</v>
      </c>
      <c r="B56" s="4">
        <v>286.91000000000003</v>
      </c>
    </row>
    <row r="57" spans="1:2" x14ac:dyDescent="0.3">
      <c r="A57" s="11">
        <v>43285</v>
      </c>
      <c r="B57" s="12">
        <v>287.08</v>
      </c>
    </row>
    <row r="58" spans="1:2" x14ac:dyDescent="0.3">
      <c r="A58" s="3">
        <v>43286</v>
      </c>
      <c r="B58" s="4">
        <v>286.64</v>
      </c>
    </row>
    <row r="59" spans="1:2" x14ac:dyDescent="0.3">
      <c r="A59" s="11">
        <v>43287</v>
      </c>
      <c r="B59" s="12">
        <v>286.16000000000003</v>
      </c>
    </row>
    <row r="60" spans="1:2" x14ac:dyDescent="0.3">
      <c r="A60" s="3">
        <v>43290</v>
      </c>
      <c r="B60" s="4">
        <v>288.85000000000002</v>
      </c>
    </row>
    <row r="61" spans="1:2" x14ac:dyDescent="0.3">
      <c r="A61" s="11">
        <v>43291</v>
      </c>
      <c r="B61" s="12">
        <v>291.97000000000003</v>
      </c>
    </row>
    <row r="62" spans="1:2" x14ac:dyDescent="0.3">
      <c r="A62" s="3">
        <v>43292</v>
      </c>
      <c r="B62" s="4">
        <v>289.54000000000002</v>
      </c>
    </row>
    <row r="63" spans="1:2" x14ac:dyDescent="0.3">
      <c r="A63" s="11">
        <v>43293</v>
      </c>
      <c r="B63" s="12">
        <v>289.23</v>
      </c>
    </row>
    <row r="64" spans="1:2" x14ac:dyDescent="0.3">
      <c r="A64" s="3">
        <v>43294</v>
      </c>
      <c r="B64" s="4">
        <v>286.98</v>
      </c>
    </row>
    <row r="65" spans="1:2" x14ac:dyDescent="0.3">
      <c r="A65" s="11">
        <v>43297</v>
      </c>
      <c r="B65" s="12">
        <v>283.92</v>
      </c>
    </row>
    <row r="66" spans="1:2" x14ac:dyDescent="0.3">
      <c r="A66" s="3">
        <v>43298</v>
      </c>
      <c r="B66" s="4">
        <v>285.98</v>
      </c>
    </row>
    <row r="67" spans="1:2" x14ac:dyDescent="0.3">
      <c r="A67" s="11">
        <v>43299</v>
      </c>
      <c r="B67" s="12">
        <v>285.70999999999998</v>
      </c>
    </row>
    <row r="68" spans="1:2" x14ac:dyDescent="0.3">
      <c r="A68" s="3">
        <v>43300</v>
      </c>
      <c r="B68" s="4">
        <v>285.48</v>
      </c>
    </row>
    <row r="69" spans="1:2" x14ac:dyDescent="0.3">
      <c r="A69" s="11">
        <v>43301</v>
      </c>
      <c r="B69" s="12">
        <v>287.10000000000002</v>
      </c>
    </row>
    <row r="70" spans="1:2" x14ac:dyDescent="0.3">
      <c r="A70" s="3">
        <v>43304</v>
      </c>
      <c r="B70" s="4">
        <v>290.83</v>
      </c>
    </row>
    <row r="71" spans="1:2" x14ac:dyDescent="0.3">
      <c r="A71" s="11">
        <v>43305</v>
      </c>
      <c r="B71" s="12">
        <v>294.73</v>
      </c>
    </row>
    <row r="72" spans="1:2" x14ac:dyDescent="0.3">
      <c r="A72" s="3">
        <v>43306</v>
      </c>
      <c r="B72" s="4">
        <v>294.23</v>
      </c>
    </row>
    <row r="73" spans="1:2" x14ac:dyDescent="0.3">
      <c r="A73" s="11">
        <v>43307</v>
      </c>
      <c r="B73" s="12">
        <v>297.56</v>
      </c>
    </row>
    <row r="74" spans="1:2" x14ac:dyDescent="0.3">
      <c r="A74" s="3">
        <v>43308</v>
      </c>
      <c r="B74" s="4">
        <v>301.54000000000002</v>
      </c>
    </row>
    <row r="75" spans="1:2" x14ac:dyDescent="0.3">
      <c r="A75" s="11">
        <v>43311</v>
      </c>
      <c r="B75" s="12">
        <v>304.13</v>
      </c>
    </row>
    <row r="76" spans="1:2" x14ac:dyDescent="0.3">
      <c r="A76" s="3">
        <v>43312</v>
      </c>
      <c r="B76" s="4">
        <v>303.48</v>
      </c>
    </row>
    <row r="77" spans="1:2" x14ac:dyDescent="0.3">
      <c r="A77" s="11">
        <v>43313</v>
      </c>
      <c r="B77" s="12">
        <v>303.36</v>
      </c>
    </row>
    <row r="78" spans="1:2" x14ac:dyDescent="0.3">
      <c r="A78" s="3">
        <v>43314</v>
      </c>
      <c r="B78" s="4">
        <v>302.64</v>
      </c>
    </row>
    <row r="79" spans="1:2" x14ac:dyDescent="0.3">
      <c r="A79" s="11">
        <v>43315</v>
      </c>
      <c r="B79" s="12">
        <v>307.57</v>
      </c>
    </row>
    <row r="80" spans="1:2" x14ac:dyDescent="0.3">
      <c r="A80" s="3">
        <v>43318</v>
      </c>
      <c r="B80" s="4">
        <v>307.58</v>
      </c>
    </row>
    <row r="81" spans="1:2" x14ac:dyDescent="0.3">
      <c r="A81" s="11">
        <v>43319</v>
      </c>
      <c r="B81" s="12">
        <v>307.43</v>
      </c>
    </row>
    <row r="82" spans="1:2" x14ac:dyDescent="0.3">
      <c r="A82" s="3">
        <v>43320</v>
      </c>
      <c r="B82" s="4">
        <v>307.39999999999998</v>
      </c>
    </row>
    <row r="83" spans="1:2" x14ac:dyDescent="0.3">
      <c r="A83" s="11">
        <v>43321</v>
      </c>
      <c r="B83" s="12">
        <v>307.3</v>
      </c>
    </row>
    <row r="84" spans="1:2" x14ac:dyDescent="0.3">
      <c r="A84" s="3">
        <v>43322</v>
      </c>
      <c r="B84" s="4">
        <v>305.12</v>
      </c>
    </row>
    <row r="85" spans="1:2" x14ac:dyDescent="0.3">
      <c r="A85" s="11">
        <v>43325</v>
      </c>
      <c r="B85" s="12">
        <v>304.31</v>
      </c>
    </row>
    <row r="86" spans="1:2" x14ac:dyDescent="0.3">
      <c r="A86" s="3">
        <v>43326</v>
      </c>
      <c r="B86" s="4">
        <v>307.97000000000003</v>
      </c>
    </row>
    <row r="87" spans="1:2" x14ac:dyDescent="0.3">
      <c r="A87" s="11">
        <v>43328</v>
      </c>
      <c r="B87" s="12">
        <v>308.77</v>
      </c>
    </row>
    <row r="88" spans="1:2" x14ac:dyDescent="0.3">
      <c r="A88" s="3">
        <v>43329</v>
      </c>
      <c r="B88" s="4">
        <v>311.52999999999997</v>
      </c>
    </row>
    <row r="89" spans="1:2" x14ac:dyDescent="0.3">
      <c r="A89" s="11">
        <v>43332</v>
      </c>
      <c r="B89" s="12">
        <v>313.06</v>
      </c>
    </row>
    <row r="90" spans="1:2" x14ac:dyDescent="0.3">
      <c r="A90" s="3">
        <v>43333</v>
      </c>
      <c r="B90" s="4">
        <v>315.33</v>
      </c>
    </row>
    <row r="91" spans="1:2" x14ac:dyDescent="0.3">
      <c r="A91" s="11">
        <v>43335</v>
      </c>
      <c r="B91" s="12">
        <v>316.08999999999997</v>
      </c>
    </row>
    <row r="92" spans="1:2" x14ac:dyDescent="0.3">
      <c r="A92" s="3">
        <v>43336</v>
      </c>
      <c r="B92" s="4">
        <v>315.19</v>
      </c>
    </row>
    <row r="93" spans="1:2" x14ac:dyDescent="0.3">
      <c r="A93" s="11">
        <v>43339</v>
      </c>
      <c r="B93" s="12">
        <v>317.11</v>
      </c>
    </row>
    <row r="94" spans="1:2" x14ac:dyDescent="0.3">
      <c r="A94" s="3">
        <v>43340</v>
      </c>
      <c r="B94" s="4">
        <v>316.75</v>
      </c>
    </row>
    <row r="95" spans="1:2" x14ac:dyDescent="0.3">
      <c r="A95" s="11">
        <v>43341</v>
      </c>
      <c r="B95" s="12">
        <v>316.16000000000003</v>
      </c>
    </row>
    <row r="96" spans="1:2" x14ac:dyDescent="0.3">
      <c r="A96" s="3">
        <v>43342</v>
      </c>
      <c r="B96" s="4">
        <v>318.57</v>
      </c>
    </row>
    <row r="97" spans="1:2" x14ac:dyDescent="0.3">
      <c r="A97" s="11">
        <v>43343</v>
      </c>
      <c r="B97" s="12">
        <v>320.2</v>
      </c>
    </row>
    <row r="98" spans="1:2" x14ac:dyDescent="0.3">
      <c r="A98" s="3">
        <v>43346</v>
      </c>
      <c r="B98" s="4">
        <v>319.61</v>
      </c>
    </row>
    <row r="99" spans="1:2" x14ac:dyDescent="0.3">
      <c r="A99" s="11">
        <v>43347</v>
      </c>
      <c r="B99" s="12">
        <v>314.56</v>
      </c>
    </row>
    <row r="100" spans="1:2" x14ac:dyDescent="0.3">
      <c r="A100" s="3">
        <v>43348</v>
      </c>
      <c r="B100" s="4">
        <v>315.13</v>
      </c>
    </row>
    <row r="101" spans="1:2" x14ac:dyDescent="0.3">
      <c r="A101" s="11">
        <v>43349</v>
      </c>
      <c r="B101" s="12">
        <v>317.58</v>
      </c>
    </row>
    <row r="102" spans="1:2" x14ac:dyDescent="0.3">
      <c r="A102" s="3">
        <v>43350</v>
      </c>
      <c r="B102" s="4">
        <v>320.3</v>
      </c>
    </row>
    <row r="103" spans="1:2" x14ac:dyDescent="0.3">
      <c r="A103" s="11">
        <v>43353</v>
      </c>
      <c r="B103" s="12">
        <v>315.7</v>
      </c>
    </row>
    <row r="104" spans="1:2" x14ac:dyDescent="0.3">
      <c r="A104" s="3">
        <v>43354</v>
      </c>
      <c r="B104" s="4">
        <v>311.85000000000002</v>
      </c>
    </row>
    <row r="105" spans="1:2" x14ac:dyDescent="0.3">
      <c r="A105" s="11">
        <v>43355</v>
      </c>
      <c r="B105" s="12">
        <v>314.86</v>
      </c>
    </row>
    <row r="106" spans="1:2" x14ac:dyDescent="0.3">
      <c r="A106" s="3">
        <v>43357</v>
      </c>
      <c r="B106" s="4">
        <v>318.7</v>
      </c>
    </row>
    <row r="107" spans="1:2" x14ac:dyDescent="0.3">
      <c r="A107" s="11">
        <v>43360</v>
      </c>
      <c r="B107" s="12">
        <v>315.61</v>
      </c>
    </row>
    <row r="108" spans="1:2" x14ac:dyDescent="0.3">
      <c r="A108" s="3">
        <v>43361</v>
      </c>
      <c r="B108" s="4">
        <v>311.70999999999998</v>
      </c>
    </row>
    <row r="109" spans="1:2" x14ac:dyDescent="0.3">
      <c r="A109" s="11">
        <v>43362</v>
      </c>
      <c r="B109" s="12">
        <v>310.22000000000003</v>
      </c>
    </row>
    <row r="110" spans="1:2" x14ac:dyDescent="0.3">
      <c r="A110" s="3">
        <v>43364</v>
      </c>
      <c r="B110" s="4">
        <v>306.73</v>
      </c>
    </row>
    <row r="111" spans="1:2" x14ac:dyDescent="0.3">
      <c r="A111" s="11">
        <v>43367</v>
      </c>
      <c r="B111" s="12">
        <v>300.57</v>
      </c>
    </row>
    <row r="112" spans="1:2" x14ac:dyDescent="0.3">
      <c r="A112" s="3">
        <v>43368</v>
      </c>
      <c r="B112" s="4">
        <v>303.27</v>
      </c>
    </row>
    <row r="113" spans="1:2" x14ac:dyDescent="0.3">
      <c r="A113" s="11">
        <v>43369</v>
      </c>
      <c r="B113" s="12">
        <v>302.44</v>
      </c>
    </row>
    <row r="114" spans="1:2" x14ac:dyDescent="0.3">
      <c r="A114" s="3">
        <v>43370</v>
      </c>
      <c r="B114" s="4">
        <v>300.13</v>
      </c>
    </row>
    <row r="115" spans="1:2" x14ac:dyDescent="0.3">
      <c r="A115" s="11">
        <v>43371</v>
      </c>
      <c r="B115" s="12">
        <v>297.97000000000003</v>
      </c>
    </row>
    <row r="116" spans="1:2" x14ac:dyDescent="0.3">
      <c r="A116" s="3">
        <v>43374</v>
      </c>
      <c r="B116" s="4">
        <v>298.77</v>
      </c>
    </row>
    <row r="117" spans="1:2" x14ac:dyDescent="0.3">
      <c r="A117" s="11">
        <v>43376</v>
      </c>
      <c r="B117" s="12">
        <v>296.25</v>
      </c>
    </row>
    <row r="118" spans="1:2" x14ac:dyDescent="0.3">
      <c r="A118" s="3">
        <v>43377</v>
      </c>
      <c r="B118" s="4">
        <v>290.19</v>
      </c>
    </row>
    <row r="119" spans="1:2" x14ac:dyDescent="0.3">
      <c r="A119" s="11">
        <v>43378</v>
      </c>
      <c r="B119" s="12">
        <v>284.18</v>
      </c>
    </row>
    <row r="120" spans="1:2" x14ac:dyDescent="0.3">
      <c r="A120" s="3">
        <v>43381</v>
      </c>
      <c r="B120" s="4">
        <v>282.89</v>
      </c>
    </row>
    <row r="121" spans="1:2" x14ac:dyDescent="0.3">
      <c r="A121" s="11">
        <v>43382</v>
      </c>
      <c r="B121" s="12">
        <v>281.47000000000003</v>
      </c>
    </row>
    <row r="122" spans="1:2" x14ac:dyDescent="0.3">
      <c r="A122" s="3">
        <v>43383</v>
      </c>
      <c r="B122" s="4">
        <v>285.81</v>
      </c>
    </row>
    <row r="123" spans="1:2" x14ac:dyDescent="0.3">
      <c r="A123" s="11">
        <v>43384</v>
      </c>
      <c r="B123" s="12">
        <v>281.27999999999997</v>
      </c>
    </row>
    <row r="124" spans="1:2" x14ac:dyDescent="0.3">
      <c r="A124" s="3">
        <v>43385</v>
      </c>
      <c r="B124" s="4">
        <v>286.20999999999998</v>
      </c>
    </row>
    <row r="125" spans="1:2" x14ac:dyDescent="0.3">
      <c r="A125" s="11">
        <v>43388</v>
      </c>
      <c r="B125" s="12">
        <v>288.81</v>
      </c>
    </row>
    <row r="126" spans="1:2" x14ac:dyDescent="0.3">
      <c r="A126" s="3">
        <v>43389</v>
      </c>
      <c r="B126" s="4">
        <v>289.95999999999998</v>
      </c>
    </row>
    <row r="127" spans="1:2" x14ac:dyDescent="0.3">
      <c r="A127" s="11">
        <v>43390</v>
      </c>
      <c r="B127" s="12">
        <v>286.95999999999998</v>
      </c>
    </row>
    <row r="128" spans="1:2" x14ac:dyDescent="0.3">
      <c r="A128" s="3">
        <v>43392</v>
      </c>
      <c r="B128" s="4">
        <v>285.79000000000002</v>
      </c>
    </row>
    <row r="129" spans="1:2" x14ac:dyDescent="0.3">
      <c r="A129" s="11">
        <v>43395</v>
      </c>
      <c r="B129" s="12">
        <v>285.36</v>
      </c>
    </row>
    <row r="130" spans="1:2" x14ac:dyDescent="0.3">
      <c r="A130" s="3">
        <v>43396</v>
      </c>
      <c r="B130" s="4">
        <v>281.49</v>
      </c>
    </row>
    <row r="131" spans="1:2" x14ac:dyDescent="0.3">
      <c r="A131" s="11">
        <v>43397</v>
      </c>
      <c r="B131" s="12">
        <v>283.31</v>
      </c>
    </row>
    <row r="132" spans="1:2" x14ac:dyDescent="0.3">
      <c r="A132" s="3">
        <v>43398</v>
      </c>
      <c r="B132" s="4">
        <v>279.7</v>
      </c>
    </row>
    <row r="133" spans="1:2" x14ac:dyDescent="0.3">
      <c r="A133" s="11">
        <v>43399</v>
      </c>
      <c r="B133" s="12">
        <v>278.48</v>
      </c>
    </row>
    <row r="134" spans="1:2" x14ac:dyDescent="0.3">
      <c r="A134" s="3">
        <v>43402</v>
      </c>
      <c r="B134" s="4">
        <v>284.54000000000002</v>
      </c>
    </row>
    <row r="135" spans="1:2" x14ac:dyDescent="0.3">
      <c r="A135" s="11">
        <v>43403</v>
      </c>
      <c r="B135" s="12">
        <v>284.94</v>
      </c>
    </row>
    <row r="136" spans="1:2" x14ac:dyDescent="0.3">
      <c r="A136" s="3">
        <v>43404</v>
      </c>
      <c r="B136" s="4">
        <v>289.69</v>
      </c>
    </row>
    <row r="137" spans="1:2" x14ac:dyDescent="0.3">
      <c r="A137" s="11">
        <v>43405</v>
      </c>
      <c r="B137" s="12">
        <v>288.93</v>
      </c>
    </row>
    <row r="138" spans="1:2" x14ac:dyDescent="0.3">
      <c r="A138" s="3">
        <v>43406</v>
      </c>
      <c r="B138" s="4">
        <v>293.77</v>
      </c>
    </row>
    <row r="139" spans="1:2" x14ac:dyDescent="0.3">
      <c r="A139" s="11">
        <v>43409</v>
      </c>
      <c r="B139" s="12">
        <v>294.11</v>
      </c>
    </row>
    <row r="140" spans="1:2" x14ac:dyDescent="0.3">
      <c r="A140" s="3">
        <v>43410</v>
      </c>
      <c r="B140" s="4">
        <v>293.76</v>
      </c>
    </row>
    <row r="141" spans="1:2" x14ac:dyDescent="0.3">
      <c r="A141" s="11">
        <v>43413</v>
      </c>
      <c r="B141" s="12">
        <v>295.77</v>
      </c>
    </row>
    <row r="142" spans="1:2" x14ac:dyDescent="0.3">
      <c r="A142" s="3">
        <v>43416</v>
      </c>
      <c r="B142" s="4">
        <v>292.73</v>
      </c>
    </row>
    <row r="143" spans="1:2" x14ac:dyDescent="0.3">
      <c r="A143" s="11">
        <v>43417</v>
      </c>
      <c r="B143" s="12">
        <v>293.98</v>
      </c>
    </row>
    <row r="144" spans="1:2" x14ac:dyDescent="0.3">
      <c r="A144" s="3">
        <v>43418</v>
      </c>
      <c r="B144" s="4">
        <v>292.06</v>
      </c>
    </row>
    <row r="145" spans="1:2" x14ac:dyDescent="0.3">
      <c r="A145" s="11">
        <v>43419</v>
      </c>
      <c r="B145" s="12">
        <v>292.66000000000003</v>
      </c>
    </row>
    <row r="146" spans="1:2" x14ac:dyDescent="0.3">
      <c r="A146" s="3">
        <v>43420</v>
      </c>
      <c r="B146" s="4">
        <v>294.16000000000003</v>
      </c>
    </row>
    <row r="147" spans="1:2" x14ac:dyDescent="0.3">
      <c r="A147" s="11">
        <v>43423</v>
      </c>
      <c r="B147" s="12">
        <v>295.45</v>
      </c>
    </row>
    <row r="148" spans="1:2" x14ac:dyDescent="0.3">
      <c r="A148" s="3">
        <v>43424</v>
      </c>
      <c r="B148" s="4">
        <v>292.32</v>
      </c>
    </row>
    <row r="149" spans="1:2" x14ac:dyDescent="0.3">
      <c r="A149" s="11">
        <v>43425</v>
      </c>
      <c r="B149" s="12">
        <v>292.41000000000003</v>
      </c>
    </row>
    <row r="150" spans="1:2" x14ac:dyDescent="0.3">
      <c r="A150" s="3">
        <v>43426</v>
      </c>
      <c r="B150" s="4">
        <v>290.23</v>
      </c>
    </row>
    <row r="151" spans="1:2" x14ac:dyDescent="0.3">
      <c r="A151" s="11">
        <v>43430</v>
      </c>
      <c r="B151" s="12">
        <v>291.33</v>
      </c>
    </row>
    <row r="152" spans="1:2" x14ac:dyDescent="0.3">
      <c r="A152" s="3">
        <v>43431</v>
      </c>
      <c r="B152" s="4">
        <v>292.14999999999998</v>
      </c>
    </row>
    <row r="153" spans="1:2" x14ac:dyDescent="0.3">
      <c r="A153" s="11">
        <v>43432</v>
      </c>
      <c r="B153" s="12">
        <v>290.58999999999997</v>
      </c>
    </row>
    <row r="154" spans="1:2" x14ac:dyDescent="0.3">
      <c r="A154" s="3">
        <v>43433</v>
      </c>
      <c r="B154" s="4">
        <v>292.64</v>
      </c>
    </row>
    <row r="155" spans="1:2" x14ac:dyDescent="0.3">
      <c r="A155" s="11">
        <v>43434</v>
      </c>
      <c r="B155" s="12">
        <v>293.32</v>
      </c>
    </row>
    <row r="156" spans="1:2" x14ac:dyDescent="0.3">
      <c r="A156" s="3">
        <v>43437</v>
      </c>
      <c r="B156" s="4">
        <v>295.18</v>
      </c>
    </row>
    <row r="157" spans="1:2" x14ac:dyDescent="0.3">
      <c r="A157" s="11">
        <v>43438</v>
      </c>
      <c r="B157" s="12">
        <v>295.33999999999997</v>
      </c>
    </row>
    <row r="158" spans="1:2" x14ac:dyDescent="0.3">
      <c r="A158" s="3">
        <v>43439</v>
      </c>
      <c r="B158" s="4">
        <v>290.37</v>
      </c>
    </row>
    <row r="159" spans="1:2" x14ac:dyDescent="0.3">
      <c r="A159" s="11">
        <v>43440</v>
      </c>
      <c r="B159" s="12">
        <v>286.39999999999998</v>
      </c>
    </row>
    <row r="160" spans="1:2" x14ac:dyDescent="0.3">
      <c r="A160" s="3">
        <v>43441</v>
      </c>
      <c r="B160" s="4">
        <v>286.33</v>
      </c>
    </row>
    <row r="161" spans="1:2" x14ac:dyDescent="0.3">
      <c r="A161" s="11">
        <v>43444</v>
      </c>
      <c r="B161" s="12">
        <v>282.33999999999997</v>
      </c>
    </row>
    <row r="162" spans="1:2" x14ac:dyDescent="0.3">
      <c r="A162" s="3">
        <v>43445</v>
      </c>
      <c r="B162" s="4">
        <v>285.20999999999998</v>
      </c>
    </row>
    <row r="163" spans="1:2" x14ac:dyDescent="0.3">
      <c r="A163" s="11">
        <v>43446</v>
      </c>
      <c r="B163" s="12">
        <v>290.8</v>
      </c>
    </row>
    <row r="164" spans="1:2" x14ac:dyDescent="0.3">
      <c r="A164" s="3">
        <v>43447</v>
      </c>
      <c r="B164" s="4">
        <v>292.14</v>
      </c>
    </row>
    <row r="165" spans="1:2" x14ac:dyDescent="0.3">
      <c r="A165" s="11">
        <v>43448</v>
      </c>
      <c r="B165" s="12">
        <v>293.70999999999998</v>
      </c>
    </row>
    <row r="166" spans="1:2" x14ac:dyDescent="0.3">
      <c r="A166" s="3">
        <v>43451</v>
      </c>
      <c r="B166" s="4">
        <v>295.77999999999997</v>
      </c>
    </row>
    <row r="167" spans="1:2" x14ac:dyDescent="0.3">
      <c r="A167" s="11">
        <v>43452</v>
      </c>
      <c r="B167" s="12">
        <v>296.63</v>
      </c>
    </row>
    <row r="168" spans="1:2" x14ac:dyDescent="0.3">
      <c r="A168" s="3">
        <v>43453</v>
      </c>
      <c r="B168" s="4">
        <v>299.31</v>
      </c>
    </row>
    <row r="169" spans="1:2" x14ac:dyDescent="0.3">
      <c r="A169" s="11">
        <v>43454</v>
      </c>
      <c r="B169" s="12">
        <v>298.18</v>
      </c>
    </row>
    <row r="170" spans="1:2" x14ac:dyDescent="0.3">
      <c r="A170" s="3">
        <v>43455</v>
      </c>
      <c r="B170" s="4">
        <v>294.55</v>
      </c>
    </row>
    <row r="171" spans="1:2" x14ac:dyDescent="0.3">
      <c r="A171" s="11">
        <v>43458</v>
      </c>
      <c r="B171" s="12">
        <v>291.68</v>
      </c>
    </row>
    <row r="172" spans="1:2" x14ac:dyDescent="0.3">
      <c r="A172" s="3">
        <v>43460</v>
      </c>
      <c r="B172" s="4">
        <v>292.63</v>
      </c>
    </row>
    <row r="173" spans="1:2" x14ac:dyDescent="0.3">
      <c r="A173" s="11">
        <v>43461</v>
      </c>
      <c r="B173" s="12">
        <v>293.81</v>
      </c>
    </row>
    <row r="174" spans="1:2" x14ac:dyDescent="0.3">
      <c r="A174" s="3">
        <v>43462</v>
      </c>
      <c r="B174" s="4">
        <v>296.62</v>
      </c>
    </row>
    <row r="175" spans="1:2" x14ac:dyDescent="0.3">
      <c r="A175" s="11">
        <v>43465</v>
      </c>
      <c r="B175" s="12">
        <v>297.37</v>
      </c>
    </row>
    <row r="176" spans="1:2" x14ac:dyDescent="0.3">
      <c r="A176" s="3">
        <v>43466</v>
      </c>
      <c r="B176" s="4">
        <v>297.85000000000002</v>
      </c>
    </row>
    <row r="177" spans="1:2" x14ac:dyDescent="0.3">
      <c r="A177" s="11">
        <v>43467</v>
      </c>
      <c r="B177" s="12">
        <v>294.3</v>
      </c>
    </row>
    <row r="178" spans="1:2" x14ac:dyDescent="0.3">
      <c r="A178" s="3">
        <v>43468</v>
      </c>
      <c r="B178" s="4">
        <v>291.61</v>
      </c>
    </row>
    <row r="179" spans="1:2" x14ac:dyDescent="0.3">
      <c r="A179" s="11">
        <v>43469</v>
      </c>
      <c r="B179" s="12">
        <v>293.58</v>
      </c>
    </row>
    <row r="180" spans="1:2" x14ac:dyDescent="0.3">
      <c r="A180" s="3">
        <v>43472</v>
      </c>
      <c r="B180" s="4">
        <v>294.64</v>
      </c>
    </row>
    <row r="181" spans="1:2" x14ac:dyDescent="0.3">
      <c r="A181" s="11">
        <v>43473</v>
      </c>
      <c r="B181" s="12">
        <v>296.14</v>
      </c>
    </row>
    <row r="182" spans="1:2" x14ac:dyDescent="0.3">
      <c r="A182" s="3">
        <v>43474</v>
      </c>
      <c r="B182" s="4">
        <v>296.87</v>
      </c>
    </row>
    <row r="183" spans="1:2" x14ac:dyDescent="0.3">
      <c r="A183" s="11">
        <v>43475</v>
      </c>
      <c r="B183" s="12">
        <v>296.8</v>
      </c>
    </row>
    <row r="184" spans="1:2" x14ac:dyDescent="0.3">
      <c r="A184" s="3">
        <v>43476</v>
      </c>
      <c r="B184" s="4">
        <v>297.04000000000002</v>
      </c>
    </row>
    <row r="185" spans="1:2" x14ac:dyDescent="0.3">
      <c r="A185" s="11">
        <v>43479</v>
      </c>
      <c r="B185" s="12">
        <v>295.70999999999998</v>
      </c>
    </row>
    <row r="186" spans="1:2" x14ac:dyDescent="0.3">
      <c r="A186" s="3">
        <v>43480</v>
      </c>
      <c r="B186" s="4">
        <v>298.08</v>
      </c>
    </row>
    <row r="187" spans="1:2" x14ac:dyDescent="0.3">
      <c r="A187" s="11">
        <v>43481</v>
      </c>
      <c r="B187" s="12">
        <v>298.02</v>
      </c>
    </row>
    <row r="188" spans="1:2" x14ac:dyDescent="0.3">
      <c r="A188" s="3">
        <v>43482</v>
      </c>
      <c r="B188" s="4">
        <v>296.83999999999997</v>
      </c>
    </row>
    <row r="189" spans="1:2" x14ac:dyDescent="0.3">
      <c r="A189" s="11">
        <v>43483</v>
      </c>
      <c r="B189" s="12">
        <v>294.47000000000003</v>
      </c>
    </row>
    <row r="190" spans="1:2" x14ac:dyDescent="0.3">
      <c r="A190" s="3">
        <v>43486</v>
      </c>
      <c r="B190" s="4">
        <v>294.13</v>
      </c>
    </row>
    <row r="191" spans="1:2" x14ac:dyDescent="0.3">
      <c r="A191" s="11">
        <v>43487</v>
      </c>
      <c r="B191" s="12">
        <v>293.33999999999997</v>
      </c>
    </row>
    <row r="192" spans="1:2" x14ac:dyDescent="0.3">
      <c r="A192" s="3">
        <v>43488</v>
      </c>
      <c r="B192" s="4">
        <v>290.83999999999997</v>
      </c>
    </row>
    <row r="193" spans="1:2" x14ac:dyDescent="0.3">
      <c r="A193" s="11">
        <v>43489</v>
      </c>
      <c r="B193" s="12">
        <v>290</v>
      </c>
    </row>
    <row r="194" spans="1:2" x14ac:dyDescent="0.3">
      <c r="A194" s="3">
        <v>43490</v>
      </c>
      <c r="B194" s="4">
        <v>288.27</v>
      </c>
    </row>
    <row r="195" spans="1:2" x14ac:dyDescent="0.3">
      <c r="A195" s="11">
        <v>43493</v>
      </c>
      <c r="B195" s="12">
        <v>284.85000000000002</v>
      </c>
    </row>
    <row r="196" spans="1:2" x14ac:dyDescent="0.3">
      <c r="A196" s="3">
        <v>43494</v>
      </c>
      <c r="B196" s="4">
        <v>285.83999999999997</v>
      </c>
    </row>
    <row r="197" spans="1:2" x14ac:dyDescent="0.3">
      <c r="A197" s="11">
        <v>43495</v>
      </c>
      <c r="B197" s="12">
        <v>286.87</v>
      </c>
    </row>
    <row r="198" spans="1:2" x14ac:dyDescent="0.3">
      <c r="A198" s="3">
        <v>43496</v>
      </c>
      <c r="B198" s="4">
        <v>290.33</v>
      </c>
    </row>
    <row r="199" spans="1:2" x14ac:dyDescent="0.3">
      <c r="A199" s="11">
        <v>43497</v>
      </c>
      <c r="B199" s="12">
        <v>289.8</v>
      </c>
    </row>
    <row r="200" spans="1:2" x14ac:dyDescent="0.3">
      <c r="A200" s="3">
        <v>43500</v>
      </c>
      <c r="B200" s="4">
        <v>287.99</v>
      </c>
    </row>
    <row r="201" spans="1:2" x14ac:dyDescent="0.3">
      <c r="A201" s="11">
        <v>43501</v>
      </c>
      <c r="B201" s="12">
        <v>287.05</v>
      </c>
    </row>
    <row r="202" spans="1:2" x14ac:dyDescent="0.3">
      <c r="A202" s="3">
        <v>43502</v>
      </c>
      <c r="B202" s="4">
        <v>290.51</v>
      </c>
    </row>
    <row r="203" spans="1:2" x14ac:dyDescent="0.3">
      <c r="A203" s="11">
        <v>43503</v>
      </c>
      <c r="B203" s="12">
        <v>292.20999999999998</v>
      </c>
    </row>
    <row r="204" spans="1:2" x14ac:dyDescent="0.3">
      <c r="A204" s="3">
        <v>43504</v>
      </c>
      <c r="B204" s="4">
        <v>288.01</v>
      </c>
    </row>
    <row r="205" spans="1:2" x14ac:dyDescent="0.3">
      <c r="A205" s="11">
        <v>43507</v>
      </c>
      <c r="B205" s="12">
        <v>285.27999999999997</v>
      </c>
    </row>
    <row r="206" spans="1:2" x14ac:dyDescent="0.3">
      <c r="A206" s="3">
        <v>43508</v>
      </c>
      <c r="B206" s="4">
        <v>284.97000000000003</v>
      </c>
    </row>
    <row r="207" spans="1:2" x14ac:dyDescent="0.3">
      <c r="A207" s="11">
        <v>43509</v>
      </c>
      <c r="B207" s="12">
        <v>282.58999999999997</v>
      </c>
    </row>
    <row r="208" spans="1:2" x14ac:dyDescent="0.3">
      <c r="A208" s="3">
        <v>43510</v>
      </c>
      <c r="B208" s="4">
        <v>281.36</v>
      </c>
    </row>
    <row r="209" spans="1:2" x14ac:dyDescent="0.3">
      <c r="A209" s="11">
        <v>43511</v>
      </c>
      <c r="B209" s="12">
        <v>280.68</v>
      </c>
    </row>
    <row r="210" spans="1:2" x14ac:dyDescent="0.3">
      <c r="A210" s="3">
        <v>43514</v>
      </c>
      <c r="B210" s="4">
        <v>278.64</v>
      </c>
    </row>
    <row r="211" spans="1:2" x14ac:dyDescent="0.3">
      <c r="A211" s="11">
        <v>43515</v>
      </c>
      <c r="B211" s="12">
        <v>279.13</v>
      </c>
    </row>
    <row r="212" spans="1:2" x14ac:dyDescent="0.3">
      <c r="A212" s="3">
        <v>43516</v>
      </c>
      <c r="B212" s="4">
        <v>282.89</v>
      </c>
    </row>
    <row r="213" spans="1:2" x14ac:dyDescent="0.3">
      <c r="A213" s="11">
        <v>43517</v>
      </c>
      <c r="B213" s="12">
        <v>284.26</v>
      </c>
    </row>
    <row r="214" spans="1:2" x14ac:dyDescent="0.3">
      <c r="A214" s="3">
        <v>43518</v>
      </c>
      <c r="B214" s="4">
        <v>286.76</v>
      </c>
    </row>
    <row r="215" spans="1:2" x14ac:dyDescent="0.3">
      <c r="A215" s="11">
        <v>43521</v>
      </c>
      <c r="B215" s="12">
        <v>289.11</v>
      </c>
    </row>
    <row r="216" spans="1:2" x14ac:dyDescent="0.3">
      <c r="A216" s="3">
        <v>43522</v>
      </c>
      <c r="B216" s="4">
        <v>288.31</v>
      </c>
    </row>
    <row r="217" spans="1:2" x14ac:dyDescent="0.3">
      <c r="A217" s="11">
        <v>43523</v>
      </c>
      <c r="B217" s="12">
        <v>288.42</v>
      </c>
    </row>
    <row r="218" spans="1:2" x14ac:dyDescent="0.3">
      <c r="A218" s="3">
        <v>43524</v>
      </c>
      <c r="B218" s="4">
        <v>290.95</v>
      </c>
    </row>
    <row r="219" spans="1:2" x14ac:dyDescent="0.3">
      <c r="A219" s="11">
        <v>43525</v>
      </c>
      <c r="B219" s="12">
        <v>293.41000000000003</v>
      </c>
    </row>
    <row r="220" spans="1:2" x14ac:dyDescent="0.3">
      <c r="A220" s="3">
        <v>43529</v>
      </c>
      <c r="B220" s="4">
        <v>298.55</v>
      </c>
    </row>
    <row r="221" spans="1:2" x14ac:dyDescent="0.3">
      <c r="A221" s="11">
        <v>43530</v>
      </c>
      <c r="B221" s="12">
        <v>300.86</v>
      </c>
    </row>
    <row r="222" spans="1:2" x14ac:dyDescent="0.3">
      <c r="A222" s="3">
        <v>43531</v>
      </c>
      <c r="B222" s="4">
        <v>299.19</v>
      </c>
    </row>
    <row r="223" spans="1:2" x14ac:dyDescent="0.3">
      <c r="A223" s="11">
        <v>43532</v>
      </c>
      <c r="B223" s="12">
        <v>298.7</v>
      </c>
    </row>
    <row r="224" spans="1:2" x14ac:dyDescent="0.3">
      <c r="A224" s="3">
        <v>43535</v>
      </c>
      <c r="B224" s="4">
        <v>304.37</v>
      </c>
    </row>
    <row r="225" spans="1:2" x14ac:dyDescent="0.3">
      <c r="A225" s="11">
        <v>43536</v>
      </c>
      <c r="B225" s="12">
        <v>306.67</v>
      </c>
    </row>
    <row r="226" spans="1:2" x14ac:dyDescent="0.3">
      <c r="A226" s="3">
        <v>43537</v>
      </c>
      <c r="B226" s="4">
        <v>303.94</v>
      </c>
    </row>
    <row r="227" spans="1:2" x14ac:dyDescent="0.3">
      <c r="A227" s="11">
        <v>43538</v>
      </c>
      <c r="B227" s="12">
        <v>304.91000000000003</v>
      </c>
    </row>
    <row r="228" spans="1:2" x14ac:dyDescent="0.3">
      <c r="A228" s="3">
        <v>43539</v>
      </c>
      <c r="B228" s="4">
        <v>306.89</v>
      </c>
    </row>
    <row r="229" spans="1:2" x14ac:dyDescent="0.3">
      <c r="A229" s="11">
        <v>43542</v>
      </c>
      <c r="B229" s="12">
        <v>306.7</v>
      </c>
    </row>
    <row r="230" spans="1:2" x14ac:dyDescent="0.3">
      <c r="A230" s="3">
        <v>43543</v>
      </c>
      <c r="B230" s="4">
        <v>308.93</v>
      </c>
    </row>
    <row r="231" spans="1:2" x14ac:dyDescent="0.3">
      <c r="A231" s="11">
        <v>43544</v>
      </c>
      <c r="B231" s="12">
        <v>306.97000000000003</v>
      </c>
    </row>
    <row r="232" spans="1:2" x14ac:dyDescent="0.3">
      <c r="A232" s="3">
        <v>43546</v>
      </c>
      <c r="B232" s="4">
        <v>305.95999999999998</v>
      </c>
    </row>
    <row r="233" spans="1:2" x14ac:dyDescent="0.3">
      <c r="A233" s="11">
        <v>43549</v>
      </c>
      <c r="B233" s="12">
        <v>303.94</v>
      </c>
    </row>
    <row r="234" spans="1:2" x14ac:dyDescent="0.3">
      <c r="A234" s="3">
        <v>43550</v>
      </c>
      <c r="B234" s="4">
        <v>306.64999999999998</v>
      </c>
    </row>
    <row r="235" spans="1:2" x14ac:dyDescent="0.3">
      <c r="A235" s="11">
        <v>43551</v>
      </c>
      <c r="B235" s="12">
        <v>306.79000000000002</v>
      </c>
    </row>
    <row r="236" spans="1:2" x14ac:dyDescent="0.3">
      <c r="A236" s="3">
        <v>43552</v>
      </c>
      <c r="B236" s="4">
        <v>309.51</v>
      </c>
    </row>
    <row r="237" spans="1:2" x14ac:dyDescent="0.3">
      <c r="A237" s="11">
        <v>43553</v>
      </c>
      <c r="B237" s="12">
        <v>311.97000000000003</v>
      </c>
    </row>
    <row r="238" spans="1:2" x14ac:dyDescent="0.3">
      <c r="A238" s="3">
        <v>43556</v>
      </c>
      <c r="B238" s="4">
        <v>314.04000000000002</v>
      </c>
    </row>
    <row r="239" spans="1:2" x14ac:dyDescent="0.3">
      <c r="A239" s="11">
        <v>43557</v>
      </c>
      <c r="B239" s="12">
        <v>315.06</v>
      </c>
    </row>
    <row r="240" spans="1:2" x14ac:dyDescent="0.3">
      <c r="A240" s="3">
        <v>43558</v>
      </c>
      <c r="B240" s="4">
        <v>311.57</v>
      </c>
    </row>
    <row r="241" spans="1:2" x14ac:dyDescent="0.3">
      <c r="A241" s="11">
        <v>43559</v>
      </c>
      <c r="B241" s="12">
        <v>311.83</v>
      </c>
    </row>
    <row r="242" spans="1:2" x14ac:dyDescent="0.3">
      <c r="A242" s="3">
        <v>43560</v>
      </c>
      <c r="B242" s="4">
        <v>313.25</v>
      </c>
    </row>
    <row r="243" spans="1:2" x14ac:dyDescent="0.3">
      <c r="A243" s="11">
        <v>43563</v>
      </c>
      <c r="B243" s="12">
        <v>312</v>
      </c>
    </row>
    <row r="244" spans="1:2" x14ac:dyDescent="0.3">
      <c r="A244" s="3">
        <v>43564</v>
      </c>
      <c r="B244" s="4">
        <v>313.11</v>
      </c>
    </row>
    <row r="245" spans="1:2" x14ac:dyDescent="0.3">
      <c r="A245" s="11">
        <v>43565</v>
      </c>
      <c r="B245" s="12">
        <v>311.45</v>
      </c>
    </row>
    <row r="246" spans="1:2" x14ac:dyDescent="0.3">
      <c r="A246" s="3">
        <v>43566</v>
      </c>
      <c r="B246" s="4">
        <v>311.44</v>
      </c>
    </row>
    <row r="247" spans="1:2" x14ac:dyDescent="0.3">
      <c r="A247" s="11">
        <v>43567</v>
      </c>
      <c r="B247" s="12">
        <v>312.83</v>
      </c>
    </row>
    <row r="248" spans="1:2" x14ac:dyDescent="0.3">
      <c r="A248" s="3">
        <v>43570</v>
      </c>
      <c r="B248" s="4">
        <v>314.27</v>
      </c>
    </row>
    <row r="249" spans="1:2" x14ac:dyDescent="0.3">
      <c r="A249" s="11">
        <v>43571</v>
      </c>
      <c r="B249" s="12">
        <v>316.04000000000002</v>
      </c>
    </row>
    <row r="250" spans="1:2" x14ac:dyDescent="0.3">
      <c r="A250" s="3">
        <v>43573</v>
      </c>
      <c r="B250" s="4">
        <v>313.61</v>
      </c>
    </row>
    <row r="251" spans="1:2" x14ac:dyDescent="0.3">
      <c r="A251" s="11">
        <v>43577</v>
      </c>
      <c r="B251" s="12">
        <v>310.74</v>
      </c>
    </row>
    <row r="252" spans="1:2" x14ac:dyDescent="0.3">
      <c r="A252" s="3">
        <v>43578</v>
      </c>
      <c r="B252" s="4">
        <v>310.02</v>
      </c>
    </row>
    <row r="253" spans="1:2" x14ac:dyDescent="0.3">
      <c r="A253" s="11">
        <v>43579</v>
      </c>
      <c r="B253" s="12">
        <v>312.12</v>
      </c>
    </row>
    <row r="254" spans="1:2" x14ac:dyDescent="0.3">
      <c r="A254" s="3">
        <v>43580</v>
      </c>
      <c r="B254" s="4">
        <v>310.29000000000002</v>
      </c>
    </row>
    <row r="255" spans="1:2" x14ac:dyDescent="0.3">
      <c r="A255" s="11">
        <v>43581</v>
      </c>
      <c r="B255" s="12">
        <v>312.2</v>
      </c>
    </row>
    <row r="256" spans="1:2" x14ac:dyDescent="0.3">
      <c r="A256" s="3">
        <v>43585</v>
      </c>
      <c r="B256" s="4">
        <v>312.26</v>
      </c>
    </row>
    <row r="257" spans="1:2" x14ac:dyDescent="0.3">
      <c r="A257" s="11">
        <v>43587</v>
      </c>
      <c r="B257" s="12">
        <v>310.32</v>
      </c>
    </row>
    <row r="258" spans="1:2" x14ac:dyDescent="0.3">
      <c r="A258" s="3">
        <v>43588</v>
      </c>
      <c r="B258" s="4">
        <v>310.83</v>
      </c>
    </row>
    <row r="259" spans="1:2" x14ac:dyDescent="0.3">
      <c r="A259" s="11">
        <v>43591</v>
      </c>
      <c r="B259" s="12">
        <v>309.37</v>
      </c>
    </row>
    <row r="260" spans="1:2" x14ac:dyDescent="0.3">
      <c r="A260" s="3">
        <v>43592</v>
      </c>
      <c r="B260" s="4">
        <v>307.52</v>
      </c>
    </row>
    <row r="261" spans="1:2" x14ac:dyDescent="0.3">
      <c r="A261" s="11">
        <v>43593</v>
      </c>
      <c r="B261" s="12">
        <v>304.52</v>
      </c>
    </row>
    <row r="262" spans="1:2" x14ac:dyDescent="0.3">
      <c r="A262" s="3">
        <v>43594</v>
      </c>
      <c r="B262" s="4">
        <v>303.06</v>
      </c>
    </row>
    <row r="263" spans="1:2" x14ac:dyDescent="0.3">
      <c r="A263" s="11">
        <v>43595</v>
      </c>
      <c r="B263" s="12">
        <v>302.85000000000002</v>
      </c>
    </row>
    <row r="264" spans="1:2" x14ac:dyDescent="0.3">
      <c r="A264" s="3">
        <v>43598</v>
      </c>
      <c r="B264" s="4">
        <v>297.55</v>
      </c>
    </row>
    <row r="265" spans="1:2" x14ac:dyDescent="0.3">
      <c r="A265" s="11">
        <v>43599</v>
      </c>
      <c r="B265" s="12">
        <v>300.69</v>
      </c>
    </row>
    <row r="266" spans="1:2" x14ac:dyDescent="0.3">
      <c r="A266" s="3">
        <v>43600</v>
      </c>
      <c r="B266" s="4">
        <v>298.64999999999998</v>
      </c>
    </row>
    <row r="267" spans="1:2" x14ac:dyDescent="0.3">
      <c r="A267" s="11">
        <v>43601</v>
      </c>
      <c r="B267" s="12">
        <v>301.02999999999997</v>
      </c>
    </row>
    <row r="268" spans="1:2" x14ac:dyDescent="0.3">
      <c r="A268" s="3">
        <v>43602</v>
      </c>
      <c r="B268" s="4">
        <v>302.08</v>
      </c>
    </row>
    <row r="269" spans="1:2" x14ac:dyDescent="0.3">
      <c r="A269" s="11">
        <v>43605</v>
      </c>
      <c r="B269" s="12">
        <v>312.69</v>
      </c>
    </row>
    <row r="270" spans="1:2" x14ac:dyDescent="0.3">
      <c r="A270" s="3">
        <v>43606</v>
      </c>
      <c r="B270" s="4">
        <v>309.26</v>
      </c>
    </row>
    <row r="271" spans="1:2" x14ac:dyDescent="0.3">
      <c r="A271" s="11">
        <v>43607</v>
      </c>
      <c r="B271" s="12">
        <v>310.49</v>
      </c>
    </row>
    <row r="272" spans="1:2" x14ac:dyDescent="0.3">
      <c r="A272" s="3">
        <v>43608</v>
      </c>
      <c r="B272" s="4">
        <v>309.39999999999998</v>
      </c>
    </row>
    <row r="273" spans="1:2" x14ac:dyDescent="0.3">
      <c r="A273" s="11">
        <v>43609</v>
      </c>
      <c r="B273" s="12">
        <v>315.33</v>
      </c>
    </row>
    <row r="274" spans="1:2" x14ac:dyDescent="0.3">
      <c r="A274" s="3">
        <v>43612</v>
      </c>
      <c r="B274" s="4">
        <v>319.41000000000003</v>
      </c>
    </row>
    <row r="275" spans="1:2" x14ac:dyDescent="0.3">
      <c r="A275" s="11">
        <v>43613</v>
      </c>
      <c r="B275" s="12">
        <v>319.68</v>
      </c>
    </row>
    <row r="276" spans="1:2" x14ac:dyDescent="0.3">
      <c r="A276" s="3">
        <v>43614</v>
      </c>
      <c r="B276" s="4">
        <v>316.13</v>
      </c>
    </row>
    <row r="277" spans="1:2" x14ac:dyDescent="0.3">
      <c r="A277" s="11">
        <v>43615</v>
      </c>
      <c r="B277" s="12">
        <v>317.39999999999998</v>
      </c>
    </row>
    <row r="278" spans="1:2" x14ac:dyDescent="0.3">
      <c r="A278" s="3">
        <v>43616</v>
      </c>
      <c r="B278" s="4">
        <v>317.16000000000003</v>
      </c>
    </row>
    <row r="279" spans="1:2" x14ac:dyDescent="0.3">
      <c r="A279" s="11">
        <v>43619</v>
      </c>
      <c r="B279" s="12">
        <v>319.75</v>
      </c>
    </row>
    <row r="280" spans="1:2" x14ac:dyDescent="0.3">
      <c r="A280" s="3">
        <v>43620</v>
      </c>
      <c r="B280" s="4">
        <v>318.51</v>
      </c>
    </row>
    <row r="281" spans="1:2" x14ac:dyDescent="0.3">
      <c r="A281" s="11">
        <v>43622</v>
      </c>
      <c r="B281" s="12">
        <v>314.27</v>
      </c>
    </row>
    <row r="282" spans="1:2" x14ac:dyDescent="0.3">
      <c r="A282" s="3">
        <v>43623</v>
      </c>
      <c r="B282" s="4">
        <v>314.56</v>
      </c>
    </row>
    <row r="283" spans="1:2" x14ac:dyDescent="0.3">
      <c r="A283" s="11">
        <v>43626</v>
      </c>
      <c r="B283" s="12">
        <v>315.97000000000003</v>
      </c>
    </row>
    <row r="284" spans="1:2" x14ac:dyDescent="0.3">
      <c r="A284" s="3">
        <v>43627</v>
      </c>
      <c r="B284" s="4">
        <v>316.94</v>
      </c>
    </row>
    <row r="285" spans="1:2" x14ac:dyDescent="0.3">
      <c r="A285" s="11">
        <v>43628</v>
      </c>
      <c r="B285" s="12">
        <v>316.04000000000002</v>
      </c>
    </row>
    <row r="286" spans="1:2" x14ac:dyDescent="0.3">
      <c r="A286" s="3">
        <v>43629</v>
      </c>
      <c r="B286" s="4">
        <v>316.20999999999998</v>
      </c>
    </row>
    <row r="287" spans="1:2" x14ac:dyDescent="0.3">
      <c r="A287" s="11">
        <v>43630</v>
      </c>
      <c r="B287" s="12">
        <v>313.86</v>
      </c>
    </row>
    <row r="288" spans="1:2" x14ac:dyDescent="0.3">
      <c r="A288" s="3">
        <v>43633</v>
      </c>
      <c r="B288" s="4">
        <v>309.83999999999997</v>
      </c>
    </row>
    <row r="289" spans="1:2" x14ac:dyDescent="0.3">
      <c r="A289" s="11">
        <v>43634</v>
      </c>
      <c r="B289" s="12">
        <v>310.57</v>
      </c>
    </row>
    <row r="290" spans="1:2" x14ac:dyDescent="0.3">
      <c r="A290" s="3">
        <v>43635</v>
      </c>
      <c r="B290" s="4">
        <v>309.69</v>
      </c>
    </row>
    <row r="291" spans="1:2" x14ac:dyDescent="0.3">
      <c r="A291" s="11">
        <v>43636</v>
      </c>
      <c r="B291" s="12">
        <v>314.19</v>
      </c>
    </row>
    <row r="292" spans="1:2" x14ac:dyDescent="0.3">
      <c r="A292" s="3">
        <v>43637</v>
      </c>
      <c r="B292" s="4">
        <v>313.63</v>
      </c>
    </row>
    <row r="293" spans="1:2" x14ac:dyDescent="0.3">
      <c r="A293" s="11">
        <v>43640</v>
      </c>
      <c r="B293" s="12">
        <v>312.8</v>
      </c>
    </row>
    <row r="294" spans="1:2" x14ac:dyDescent="0.3">
      <c r="A294" s="3">
        <v>43641</v>
      </c>
      <c r="B294" s="4">
        <v>314.76</v>
      </c>
    </row>
    <row r="295" spans="1:2" x14ac:dyDescent="0.3">
      <c r="A295" s="11">
        <v>43642</v>
      </c>
      <c r="B295" s="12">
        <v>316.67</v>
      </c>
    </row>
    <row r="296" spans="1:2" x14ac:dyDescent="0.3">
      <c r="A296" s="3">
        <v>43643</v>
      </c>
      <c r="B296" s="4">
        <v>317.27</v>
      </c>
    </row>
    <row r="297" spans="1:2" x14ac:dyDescent="0.3">
      <c r="A297" s="11">
        <v>43644</v>
      </c>
      <c r="B297" s="12">
        <v>316.97000000000003</v>
      </c>
    </row>
    <row r="298" spans="1:2" x14ac:dyDescent="0.3">
      <c r="A298" s="3">
        <v>43647</v>
      </c>
      <c r="B298" s="4">
        <v>317.24</v>
      </c>
    </row>
    <row r="299" spans="1:2" x14ac:dyDescent="0.3">
      <c r="A299" s="11">
        <v>43648</v>
      </c>
      <c r="B299" s="12">
        <v>318.49</v>
      </c>
    </row>
    <row r="300" spans="1:2" x14ac:dyDescent="0.3">
      <c r="A300" s="3">
        <v>43649</v>
      </c>
      <c r="B300" s="4">
        <v>318.74</v>
      </c>
    </row>
    <row r="301" spans="1:2" x14ac:dyDescent="0.3">
      <c r="A301" s="11">
        <v>43650</v>
      </c>
      <c r="B301" s="12">
        <v>319.2</v>
      </c>
    </row>
    <row r="302" spans="1:2" x14ac:dyDescent="0.3">
      <c r="A302" s="3">
        <v>43651</v>
      </c>
      <c r="B302" s="4">
        <v>314.67</v>
      </c>
    </row>
    <row r="303" spans="1:2" x14ac:dyDescent="0.3">
      <c r="A303" s="11">
        <v>43654</v>
      </c>
      <c r="B303" s="12">
        <v>307.76</v>
      </c>
    </row>
    <row r="304" spans="1:2" x14ac:dyDescent="0.3">
      <c r="A304" s="3">
        <v>43655</v>
      </c>
      <c r="B304" s="4">
        <v>309.05</v>
      </c>
    </row>
    <row r="305" spans="1:2" x14ac:dyDescent="0.3">
      <c r="A305" s="11">
        <v>43656</v>
      </c>
      <c r="B305" s="12">
        <v>307.20999999999998</v>
      </c>
    </row>
    <row r="306" spans="1:2" x14ac:dyDescent="0.3">
      <c r="A306" s="3">
        <v>43657</v>
      </c>
      <c r="B306" s="4">
        <v>309.33999999999997</v>
      </c>
    </row>
    <row r="307" spans="1:2" x14ac:dyDescent="0.3">
      <c r="A307" s="11">
        <v>43658</v>
      </c>
      <c r="B307" s="12">
        <v>309.39</v>
      </c>
    </row>
    <row r="308" spans="1:2" x14ac:dyDescent="0.3">
      <c r="A308" s="3">
        <v>43661</v>
      </c>
      <c r="B308" s="4">
        <v>309.29000000000002</v>
      </c>
    </row>
    <row r="309" spans="1:2" x14ac:dyDescent="0.3">
      <c r="A309" s="11">
        <v>43662</v>
      </c>
      <c r="B309" s="12">
        <v>310.86</v>
      </c>
    </row>
    <row r="310" spans="1:2" x14ac:dyDescent="0.3">
      <c r="A310" s="3">
        <v>43663</v>
      </c>
      <c r="B310" s="4">
        <v>311.26</v>
      </c>
    </row>
    <row r="311" spans="1:2" x14ac:dyDescent="0.3">
      <c r="A311" s="11">
        <v>43664</v>
      </c>
      <c r="B311" s="12">
        <v>307.48</v>
      </c>
    </row>
    <row r="312" spans="1:2" x14ac:dyDescent="0.3">
      <c r="A312" s="3">
        <v>43665</v>
      </c>
      <c r="B312" s="4">
        <v>303.70999999999998</v>
      </c>
    </row>
    <row r="313" spans="1:2" x14ac:dyDescent="0.3">
      <c r="A313" s="11">
        <v>43668</v>
      </c>
      <c r="B313" s="12">
        <v>304.14</v>
      </c>
    </row>
    <row r="314" spans="1:2" x14ac:dyDescent="0.3">
      <c r="A314" s="3">
        <v>43669</v>
      </c>
      <c r="B314" s="4">
        <v>304.62</v>
      </c>
    </row>
    <row r="315" spans="1:2" x14ac:dyDescent="0.3">
      <c r="A315" s="11">
        <v>43670</v>
      </c>
      <c r="B315" s="12">
        <v>302.31</v>
      </c>
    </row>
    <row r="316" spans="1:2" x14ac:dyDescent="0.3">
      <c r="A316" s="3">
        <v>43671</v>
      </c>
      <c r="B316" s="4">
        <v>303.56</v>
      </c>
    </row>
    <row r="317" spans="1:2" x14ac:dyDescent="0.3">
      <c r="A317" s="11">
        <v>43672</v>
      </c>
      <c r="B317" s="12">
        <v>303.35000000000002</v>
      </c>
    </row>
    <row r="318" spans="1:2" x14ac:dyDescent="0.3">
      <c r="A318" s="3">
        <v>43675</v>
      </c>
      <c r="B318" s="4">
        <v>300.08</v>
      </c>
    </row>
    <row r="319" spans="1:2" x14ac:dyDescent="0.3">
      <c r="A319" s="11">
        <v>43676</v>
      </c>
      <c r="B319" s="12">
        <v>296.49</v>
      </c>
    </row>
    <row r="320" spans="1:2" x14ac:dyDescent="0.3">
      <c r="A320" s="3">
        <v>43677</v>
      </c>
      <c r="B320" s="4">
        <v>298.39</v>
      </c>
    </row>
    <row r="321" spans="1:2" x14ac:dyDescent="0.3">
      <c r="A321" s="11">
        <v>43678</v>
      </c>
      <c r="B321" s="12">
        <v>293.33999999999997</v>
      </c>
    </row>
    <row r="322" spans="1:2" x14ac:dyDescent="0.3">
      <c r="A322" s="3">
        <v>43679</v>
      </c>
      <c r="B322" s="4">
        <v>292.77</v>
      </c>
    </row>
    <row r="323" spans="1:2" x14ac:dyDescent="0.3">
      <c r="A323" s="11">
        <v>43682</v>
      </c>
      <c r="B323" s="12">
        <v>289.92</v>
      </c>
    </row>
    <row r="324" spans="1:2" x14ac:dyDescent="0.3">
      <c r="A324" s="3">
        <v>43683</v>
      </c>
      <c r="B324" s="4">
        <v>293.23</v>
      </c>
    </row>
    <row r="325" spans="1:2" x14ac:dyDescent="0.3">
      <c r="A325" s="11">
        <v>43684</v>
      </c>
      <c r="B325" s="12">
        <v>290.44</v>
      </c>
    </row>
    <row r="326" spans="1:2" x14ac:dyDescent="0.3">
      <c r="A326" s="3">
        <v>43685</v>
      </c>
      <c r="B326" s="4">
        <v>293.52</v>
      </c>
    </row>
    <row r="327" spans="1:2" x14ac:dyDescent="0.3">
      <c r="A327" s="11">
        <v>43686</v>
      </c>
      <c r="B327" s="12">
        <v>294.49</v>
      </c>
    </row>
    <row r="328" spans="1:2" x14ac:dyDescent="0.3">
      <c r="A328" s="3">
        <v>43690</v>
      </c>
      <c r="B328" s="4">
        <v>287.99</v>
      </c>
    </row>
    <row r="329" spans="1:2" x14ac:dyDescent="0.3">
      <c r="A329" s="11">
        <v>43691</v>
      </c>
      <c r="B329" s="12">
        <v>290.86</v>
      </c>
    </row>
    <row r="330" spans="1:2" x14ac:dyDescent="0.3">
      <c r="A330" s="3">
        <v>43693</v>
      </c>
      <c r="B330" s="4">
        <v>291.73</v>
      </c>
    </row>
    <row r="331" spans="1:2" x14ac:dyDescent="0.3">
      <c r="A331" s="11">
        <v>43696</v>
      </c>
      <c r="B331" s="12">
        <v>292.16000000000003</v>
      </c>
    </row>
    <row r="332" spans="1:2" x14ac:dyDescent="0.3">
      <c r="A332" s="3">
        <v>43697</v>
      </c>
      <c r="B332" s="4">
        <v>290.18</v>
      </c>
    </row>
    <row r="333" spans="1:2" x14ac:dyDescent="0.3">
      <c r="A333" s="11">
        <v>43698</v>
      </c>
      <c r="B333" s="12">
        <v>286.37</v>
      </c>
    </row>
    <row r="334" spans="1:2" x14ac:dyDescent="0.3">
      <c r="A334" s="3">
        <v>43699</v>
      </c>
      <c r="B334" s="4">
        <v>282</v>
      </c>
    </row>
    <row r="335" spans="1:2" x14ac:dyDescent="0.3">
      <c r="A335" s="11">
        <v>43700</v>
      </c>
      <c r="B335" s="12">
        <v>284.82</v>
      </c>
    </row>
    <row r="336" spans="1:2" x14ac:dyDescent="0.3">
      <c r="A336" s="3">
        <v>43703</v>
      </c>
      <c r="B336" s="4">
        <v>288.95999999999998</v>
      </c>
    </row>
    <row r="337" spans="1:2" x14ac:dyDescent="0.3">
      <c r="A337" s="11">
        <v>43704</v>
      </c>
      <c r="B337" s="12">
        <v>291.7</v>
      </c>
    </row>
    <row r="338" spans="1:2" x14ac:dyDescent="0.3">
      <c r="A338" s="3">
        <v>43705</v>
      </c>
      <c r="B338" s="4">
        <v>289.06</v>
      </c>
    </row>
    <row r="339" spans="1:2" x14ac:dyDescent="0.3">
      <c r="A339" s="11">
        <v>43706</v>
      </c>
      <c r="B339" s="12">
        <v>288.31</v>
      </c>
    </row>
    <row r="340" spans="1:2" x14ac:dyDescent="0.3">
      <c r="A340" s="3">
        <v>43707</v>
      </c>
      <c r="B340" s="4">
        <v>289.94</v>
      </c>
    </row>
    <row r="341" spans="1:2" x14ac:dyDescent="0.3">
      <c r="A341" s="11">
        <v>43711</v>
      </c>
      <c r="B341" s="12">
        <v>284.08999999999997</v>
      </c>
    </row>
    <row r="342" spans="1:2" x14ac:dyDescent="0.3">
      <c r="A342" s="3">
        <v>43712</v>
      </c>
      <c r="B342" s="4">
        <v>286.10000000000002</v>
      </c>
    </row>
    <row r="343" spans="1:2" x14ac:dyDescent="0.3">
      <c r="A343" s="11">
        <v>43713</v>
      </c>
      <c r="B343" s="12">
        <v>288.27999999999997</v>
      </c>
    </row>
    <row r="344" spans="1:2" x14ac:dyDescent="0.3">
      <c r="A344" s="3">
        <v>43714</v>
      </c>
      <c r="B344" s="4">
        <v>291.14</v>
      </c>
    </row>
    <row r="345" spans="1:2" x14ac:dyDescent="0.3">
      <c r="A345" s="11">
        <v>43717</v>
      </c>
      <c r="B345" s="12">
        <v>292.79000000000002</v>
      </c>
    </row>
    <row r="346" spans="1:2" x14ac:dyDescent="0.3">
      <c r="A346" s="3">
        <v>43719</v>
      </c>
      <c r="B346" s="4">
        <v>293.91000000000003</v>
      </c>
    </row>
    <row r="347" spans="1:2" x14ac:dyDescent="0.3">
      <c r="A347" s="11">
        <v>43720</v>
      </c>
      <c r="B347" s="12">
        <v>292.83</v>
      </c>
    </row>
    <row r="348" spans="1:2" x14ac:dyDescent="0.3">
      <c r="A348" s="3">
        <v>43721</v>
      </c>
      <c r="B348" s="4">
        <v>295.74</v>
      </c>
    </row>
    <row r="349" spans="1:2" x14ac:dyDescent="0.3">
      <c r="A349" s="11">
        <v>43724</v>
      </c>
      <c r="B349" s="12">
        <v>294.83999999999997</v>
      </c>
    </row>
    <row r="350" spans="1:2" x14ac:dyDescent="0.3">
      <c r="A350" s="3">
        <v>43725</v>
      </c>
      <c r="B350" s="4">
        <v>289.48</v>
      </c>
    </row>
    <row r="351" spans="1:2" x14ac:dyDescent="0.3">
      <c r="A351" s="11">
        <v>43726</v>
      </c>
      <c r="B351" s="12">
        <v>290.72000000000003</v>
      </c>
    </row>
    <row r="352" spans="1:2" x14ac:dyDescent="0.3">
      <c r="A352" s="3">
        <v>43727</v>
      </c>
      <c r="B352" s="4">
        <v>287.20999999999998</v>
      </c>
    </row>
    <row r="353" spans="1:2" x14ac:dyDescent="0.3">
      <c r="A353" s="11">
        <v>43728</v>
      </c>
      <c r="B353" s="12">
        <v>300.79000000000002</v>
      </c>
    </row>
    <row r="354" spans="1:2" x14ac:dyDescent="0.3">
      <c r="A354" s="3">
        <v>43731</v>
      </c>
      <c r="B354" s="4">
        <v>307.10000000000002</v>
      </c>
    </row>
    <row r="355" spans="1:2" x14ac:dyDescent="0.3">
      <c r="A355" s="11">
        <v>43732</v>
      </c>
      <c r="B355" s="12">
        <v>304.60000000000002</v>
      </c>
    </row>
    <row r="356" spans="1:2" x14ac:dyDescent="0.3">
      <c r="A356" s="3">
        <v>43733</v>
      </c>
      <c r="B356" s="4">
        <v>298.99</v>
      </c>
    </row>
    <row r="357" spans="1:2" x14ac:dyDescent="0.3">
      <c r="A357" s="11">
        <v>43734</v>
      </c>
      <c r="B357" s="12">
        <v>303.39999999999998</v>
      </c>
    </row>
    <row r="358" spans="1:2" x14ac:dyDescent="0.3">
      <c r="A358" s="3">
        <v>43735</v>
      </c>
      <c r="B358" s="4">
        <v>301.62</v>
      </c>
    </row>
    <row r="359" spans="1:2" x14ac:dyDescent="0.3">
      <c r="A359" s="11">
        <v>43738</v>
      </c>
      <c r="B359" s="12">
        <v>300.42</v>
      </c>
    </row>
    <row r="360" spans="1:2" x14ac:dyDescent="0.3">
      <c r="A360" s="3">
        <v>43739</v>
      </c>
      <c r="B360" s="4">
        <v>296.11</v>
      </c>
    </row>
    <row r="361" spans="1:2" x14ac:dyDescent="0.3">
      <c r="A361" s="11">
        <v>43741</v>
      </c>
      <c r="B361" s="12">
        <v>295</v>
      </c>
    </row>
    <row r="362" spans="1:2" x14ac:dyDescent="0.3">
      <c r="A362" s="3">
        <v>43742</v>
      </c>
      <c r="B362" s="4">
        <v>291.83</v>
      </c>
    </row>
    <row r="363" spans="1:2" x14ac:dyDescent="0.3">
      <c r="A363" s="11">
        <v>43745</v>
      </c>
      <c r="B363" s="12">
        <v>290.13</v>
      </c>
    </row>
    <row r="364" spans="1:2" x14ac:dyDescent="0.3">
      <c r="A364" s="3">
        <v>43747</v>
      </c>
      <c r="B364" s="4">
        <v>294.52999999999997</v>
      </c>
    </row>
    <row r="365" spans="1:2" x14ac:dyDescent="0.3">
      <c r="A365" s="11">
        <v>43748</v>
      </c>
      <c r="B365" s="12">
        <v>292.14</v>
      </c>
    </row>
    <row r="366" spans="1:2" x14ac:dyDescent="0.3">
      <c r="A366" s="3">
        <v>43749</v>
      </c>
      <c r="B366" s="4">
        <v>294.58999999999997</v>
      </c>
    </row>
    <row r="367" spans="1:2" x14ac:dyDescent="0.3">
      <c r="A367" s="11">
        <v>43752</v>
      </c>
      <c r="B367" s="12">
        <v>295.92</v>
      </c>
    </row>
    <row r="368" spans="1:2" x14ac:dyDescent="0.3">
      <c r="A368" s="3">
        <v>43753</v>
      </c>
      <c r="B368" s="4">
        <v>298.26</v>
      </c>
    </row>
    <row r="369" spans="1:2" x14ac:dyDescent="0.3">
      <c r="A369" s="11">
        <v>43754</v>
      </c>
      <c r="B369" s="12">
        <v>298.58</v>
      </c>
    </row>
    <row r="370" spans="1:2" x14ac:dyDescent="0.3">
      <c r="A370" s="3">
        <v>43755</v>
      </c>
      <c r="B370" s="4">
        <v>302.39999999999998</v>
      </c>
    </row>
    <row r="371" spans="1:2" x14ac:dyDescent="0.3">
      <c r="A371" s="11">
        <v>43756</v>
      </c>
      <c r="B371" s="12">
        <v>304.83999999999997</v>
      </c>
    </row>
    <row r="372" spans="1:2" x14ac:dyDescent="0.3">
      <c r="A372" s="3">
        <v>43760</v>
      </c>
      <c r="B372" s="4">
        <v>303.31</v>
      </c>
    </row>
    <row r="373" spans="1:2" x14ac:dyDescent="0.3">
      <c r="A373" s="11">
        <v>43761</v>
      </c>
      <c r="B373" s="12">
        <v>303.91000000000003</v>
      </c>
    </row>
    <row r="374" spans="1:2" x14ac:dyDescent="0.3">
      <c r="A374" s="3">
        <v>43762</v>
      </c>
      <c r="B374" s="4">
        <v>302.08</v>
      </c>
    </row>
    <row r="375" spans="1:2" x14ac:dyDescent="0.3">
      <c r="A375" s="11">
        <v>43763</v>
      </c>
      <c r="B375" s="12">
        <v>303.18</v>
      </c>
    </row>
    <row r="376" spans="1:2" x14ac:dyDescent="0.3">
      <c r="A376" s="3">
        <v>43767</v>
      </c>
      <c r="B376" s="4">
        <v>308.05</v>
      </c>
    </row>
    <row r="377" spans="1:2" x14ac:dyDescent="0.3">
      <c r="A377" s="11">
        <v>43768</v>
      </c>
      <c r="B377" s="12">
        <v>310.33999999999997</v>
      </c>
    </row>
    <row r="378" spans="1:2" x14ac:dyDescent="0.3">
      <c r="A378" s="3">
        <v>43769</v>
      </c>
      <c r="B378" s="4">
        <v>312.64</v>
      </c>
    </row>
    <row r="379" spans="1:2" x14ac:dyDescent="0.3">
      <c r="A379" s="11">
        <v>43770</v>
      </c>
      <c r="B379" s="12">
        <v>313.74</v>
      </c>
    </row>
    <row r="380" spans="1:2" x14ac:dyDescent="0.3">
      <c r="A380" s="3">
        <v>43773</v>
      </c>
      <c r="B380" s="4">
        <v>315.26</v>
      </c>
    </row>
    <row r="381" spans="1:2" x14ac:dyDescent="0.3">
      <c r="A381" s="11">
        <v>43774</v>
      </c>
      <c r="B381" s="12">
        <v>314.06</v>
      </c>
    </row>
    <row r="382" spans="1:2" x14ac:dyDescent="0.3">
      <c r="A382" s="3">
        <v>43775</v>
      </c>
      <c r="B382" s="4">
        <v>314.37</v>
      </c>
    </row>
    <row r="383" spans="1:2" x14ac:dyDescent="0.3">
      <c r="A383" s="11">
        <v>43776</v>
      </c>
      <c r="B383" s="12">
        <v>314.27</v>
      </c>
    </row>
    <row r="384" spans="1:2" x14ac:dyDescent="0.3">
      <c r="A384" s="3">
        <v>43777</v>
      </c>
      <c r="B384" s="4">
        <v>311.31</v>
      </c>
    </row>
    <row r="385" spans="1:2" x14ac:dyDescent="0.3">
      <c r="A385" s="11">
        <v>43780</v>
      </c>
      <c r="B385" s="12">
        <v>311.88</v>
      </c>
    </row>
    <row r="386" spans="1:2" x14ac:dyDescent="0.3">
      <c r="A386" s="3">
        <v>43782</v>
      </c>
      <c r="B386" s="4">
        <v>307.79000000000002</v>
      </c>
    </row>
    <row r="387" spans="1:2" x14ac:dyDescent="0.3">
      <c r="A387" s="11">
        <v>43783</v>
      </c>
      <c r="B387" s="12">
        <v>308.01</v>
      </c>
    </row>
    <row r="388" spans="1:2" x14ac:dyDescent="0.3">
      <c r="A388" s="3">
        <v>43784</v>
      </c>
      <c r="B388" s="4">
        <v>309.42</v>
      </c>
    </row>
    <row r="389" spans="1:2" x14ac:dyDescent="0.3">
      <c r="A389" s="11">
        <v>43787</v>
      </c>
      <c r="B389" s="12">
        <v>310.66000000000003</v>
      </c>
    </row>
    <row r="390" spans="1:2" x14ac:dyDescent="0.3">
      <c r="A390" s="3">
        <v>43788</v>
      </c>
      <c r="B390" s="4">
        <v>312.45999999999998</v>
      </c>
    </row>
    <row r="391" spans="1:2" x14ac:dyDescent="0.3">
      <c r="A391" s="11">
        <v>43789</v>
      </c>
      <c r="B391" s="12">
        <v>313.01</v>
      </c>
    </row>
    <row r="392" spans="1:2" x14ac:dyDescent="0.3">
      <c r="A392" s="3">
        <v>43790</v>
      </c>
      <c r="B392" s="4">
        <v>310.79000000000002</v>
      </c>
    </row>
    <row r="393" spans="1:2" x14ac:dyDescent="0.3">
      <c r="A393" s="11">
        <v>43791</v>
      </c>
      <c r="B393" s="12">
        <v>310.5</v>
      </c>
    </row>
    <row r="394" spans="1:2" x14ac:dyDescent="0.3">
      <c r="A394" s="3">
        <v>43794</v>
      </c>
      <c r="B394" s="4">
        <v>315.20999999999998</v>
      </c>
    </row>
    <row r="395" spans="1:2" x14ac:dyDescent="0.3">
      <c r="A395" s="11">
        <v>43795</v>
      </c>
      <c r="B395" s="12">
        <v>313.69</v>
      </c>
    </row>
    <row r="396" spans="1:2" x14ac:dyDescent="0.3">
      <c r="A396" s="3">
        <v>43796</v>
      </c>
      <c r="B396" s="4">
        <v>314.70999999999998</v>
      </c>
    </row>
    <row r="397" spans="1:2" x14ac:dyDescent="0.3">
      <c r="A397" s="11">
        <v>43797</v>
      </c>
      <c r="B397" s="12">
        <v>317.01</v>
      </c>
    </row>
    <row r="398" spans="1:2" x14ac:dyDescent="0.3">
      <c r="A398" s="3">
        <v>43798</v>
      </c>
      <c r="B398" s="4">
        <v>315.57</v>
      </c>
    </row>
    <row r="399" spans="1:2" x14ac:dyDescent="0.3">
      <c r="A399" s="11">
        <v>43801</v>
      </c>
      <c r="B399" s="12">
        <v>314.5</v>
      </c>
    </row>
    <row r="400" spans="1:2" x14ac:dyDescent="0.3">
      <c r="A400" s="3">
        <v>43802</v>
      </c>
      <c r="B400" s="4">
        <v>312.20999999999998</v>
      </c>
    </row>
    <row r="401" spans="1:2" x14ac:dyDescent="0.3">
      <c r="A401" s="11">
        <v>43803</v>
      </c>
      <c r="B401" s="12">
        <v>315.18</v>
      </c>
    </row>
    <row r="402" spans="1:2" x14ac:dyDescent="0.3">
      <c r="A402" s="3">
        <v>43804</v>
      </c>
      <c r="B402" s="4">
        <v>313.20999999999998</v>
      </c>
    </row>
    <row r="403" spans="1:2" x14ac:dyDescent="0.3">
      <c r="A403" s="11">
        <v>43805</v>
      </c>
      <c r="B403" s="12">
        <v>309.98</v>
      </c>
    </row>
    <row r="404" spans="1:2" x14ac:dyDescent="0.3">
      <c r="A404" s="3">
        <v>43808</v>
      </c>
      <c r="B404" s="4">
        <v>309.69</v>
      </c>
    </row>
    <row r="405" spans="1:2" x14ac:dyDescent="0.3">
      <c r="A405" s="11">
        <v>43809</v>
      </c>
      <c r="B405" s="12">
        <v>307.23</v>
      </c>
    </row>
    <row r="406" spans="1:2" x14ac:dyDescent="0.3">
      <c r="A406" s="3">
        <v>43810</v>
      </c>
      <c r="B406" s="4">
        <v>307.97000000000003</v>
      </c>
    </row>
    <row r="407" spans="1:2" x14ac:dyDescent="0.3">
      <c r="A407" s="11">
        <v>43811</v>
      </c>
      <c r="B407" s="12">
        <v>309.94</v>
      </c>
    </row>
    <row r="408" spans="1:2" x14ac:dyDescent="0.3">
      <c r="A408" s="3">
        <v>43812</v>
      </c>
      <c r="B408" s="4">
        <v>313.36</v>
      </c>
    </row>
    <row r="409" spans="1:2" x14ac:dyDescent="0.3">
      <c r="A409" s="11">
        <v>43815</v>
      </c>
      <c r="B409" s="12">
        <v>311.64</v>
      </c>
    </row>
    <row r="410" spans="1:2" x14ac:dyDescent="0.3">
      <c r="A410" s="3">
        <v>43816</v>
      </c>
      <c r="B410" s="4">
        <v>314.52</v>
      </c>
    </row>
    <row r="411" spans="1:2" x14ac:dyDescent="0.3">
      <c r="A411" s="11">
        <v>43817</v>
      </c>
      <c r="B411" s="12">
        <v>314.64999999999998</v>
      </c>
    </row>
    <row r="412" spans="1:2" x14ac:dyDescent="0.3">
      <c r="A412" s="3">
        <v>43818</v>
      </c>
      <c r="B412" s="4">
        <v>315.16000000000003</v>
      </c>
    </row>
    <row r="413" spans="1:2" x14ac:dyDescent="0.3">
      <c r="A413" s="11">
        <v>43819</v>
      </c>
      <c r="B413" s="12">
        <v>316.16000000000003</v>
      </c>
    </row>
    <row r="414" spans="1:2" x14ac:dyDescent="0.3">
      <c r="A414" s="3">
        <v>43822</v>
      </c>
      <c r="B414" s="4">
        <v>315.83</v>
      </c>
    </row>
    <row r="415" spans="1:2" x14ac:dyDescent="0.3">
      <c r="A415" s="11">
        <v>43823</v>
      </c>
      <c r="B415" s="12">
        <v>315.86</v>
      </c>
    </row>
    <row r="416" spans="1:2" x14ac:dyDescent="0.3">
      <c r="A416" s="3">
        <v>43825</v>
      </c>
      <c r="B416" s="4">
        <v>314.60000000000002</v>
      </c>
    </row>
    <row r="417" spans="1:2" x14ac:dyDescent="0.3">
      <c r="A417" s="11">
        <v>43826</v>
      </c>
      <c r="B417" s="12">
        <v>318.08999999999997</v>
      </c>
    </row>
    <row r="418" spans="1:2" x14ac:dyDescent="0.3">
      <c r="A418" s="3">
        <v>43829</v>
      </c>
      <c r="B418" s="4">
        <v>318.57</v>
      </c>
    </row>
    <row r="419" spans="1:2" x14ac:dyDescent="0.3">
      <c r="A419" s="11">
        <v>43830</v>
      </c>
      <c r="B419" s="12">
        <v>318.23</v>
      </c>
    </row>
    <row r="420" spans="1:2" x14ac:dyDescent="0.3">
      <c r="A420" s="3">
        <v>43831</v>
      </c>
      <c r="B420" s="4">
        <v>319.12</v>
      </c>
    </row>
    <row r="421" spans="1:2" x14ac:dyDescent="0.3">
      <c r="A421" s="11">
        <v>43832</v>
      </c>
      <c r="B421" s="12">
        <v>321.92</v>
      </c>
    </row>
    <row r="422" spans="1:2" x14ac:dyDescent="0.3">
      <c r="A422" s="3">
        <v>43833</v>
      </c>
      <c r="B422" s="4">
        <v>320.56</v>
      </c>
    </row>
    <row r="423" spans="1:2" x14ac:dyDescent="0.3">
      <c r="A423" s="11">
        <v>43836</v>
      </c>
      <c r="B423" s="12">
        <v>314.52999999999997</v>
      </c>
    </row>
    <row r="424" spans="1:2" x14ac:dyDescent="0.3">
      <c r="A424" s="3">
        <v>43837</v>
      </c>
      <c r="B424" s="4">
        <v>315.63</v>
      </c>
    </row>
    <row r="425" spans="1:2" x14ac:dyDescent="0.3">
      <c r="A425" s="11">
        <v>43838</v>
      </c>
      <c r="B425" s="12">
        <v>315.16000000000003</v>
      </c>
    </row>
    <row r="426" spans="1:2" x14ac:dyDescent="0.3">
      <c r="A426" s="3">
        <v>43839</v>
      </c>
      <c r="B426" s="4">
        <v>319.87</v>
      </c>
    </row>
    <row r="427" spans="1:2" x14ac:dyDescent="0.3">
      <c r="A427" s="11">
        <v>43840</v>
      </c>
      <c r="B427" s="12">
        <v>321.77999999999997</v>
      </c>
    </row>
    <row r="428" spans="1:2" x14ac:dyDescent="0.3">
      <c r="A428" s="3">
        <v>43843</v>
      </c>
      <c r="B428" s="4">
        <v>324.63</v>
      </c>
    </row>
    <row r="429" spans="1:2" x14ac:dyDescent="0.3">
      <c r="A429" s="11">
        <v>43844</v>
      </c>
      <c r="B429" s="12">
        <v>325.99</v>
      </c>
    </row>
    <row r="430" spans="1:2" x14ac:dyDescent="0.3">
      <c r="A430" s="3">
        <v>43845</v>
      </c>
      <c r="B430" s="4">
        <v>326.39999999999998</v>
      </c>
    </row>
    <row r="431" spans="1:2" x14ac:dyDescent="0.3">
      <c r="A431" s="11">
        <v>43846</v>
      </c>
      <c r="B431" s="12">
        <v>326.66000000000003</v>
      </c>
    </row>
    <row r="432" spans="1:2" x14ac:dyDescent="0.3">
      <c r="A432" s="3">
        <v>43847</v>
      </c>
      <c r="B432" s="4">
        <v>327.2</v>
      </c>
    </row>
    <row r="433" spans="1:2" x14ac:dyDescent="0.3">
      <c r="A433" s="11">
        <v>43850</v>
      </c>
      <c r="B433" s="12">
        <v>325.48</v>
      </c>
    </row>
    <row r="434" spans="1:2" x14ac:dyDescent="0.3">
      <c r="A434" s="3">
        <v>43851</v>
      </c>
      <c r="B434" s="4">
        <v>323.77999999999997</v>
      </c>
    </row>
    <row r="435" spans="1:2" x14ac:dyDescent="0.3">
      <c r="A435" s="11">
        <v>43852</v>
      </c>
      <c r="B435" s="12">
        <v>321.68</v>
      </c>
    </row>
    <row r="436" spans="1:2" x14ac:dyDescent="0.3">
      <c r="A436" s="3">
        <v>43853</v>
      </c>
      <c r="B436" s="4">
        <v>324.99</v>
      </c>
    </row>
    <row r="437" spans="1:2" x14ac:dyDescent="0.3">
      <c r="A437" s="11">
        <v>43854</v>
      </c>
      <c r="B437" s="12">
        <v>327</v>
      </c>
    </row>
    <row r="438" spans="1:2" x14ac:dyDescent="0.3">
      <c r="A438" s="3">
        <v>43857</v>
      </c>
      <c r="B438" s="4">
        <v>323.33</v>
      </c>
    </row>
    <row r="439" spans="1:2" x14ac:dyDescent="0.3">
      <c r="A439" s="11">
        <v>43858</v>
      </c>
      <c r="B439" s="12">
        <v>320.56</v>
      </c>
    </row>
    <row r="440" spans="1:2" x14ac:dyDescent="0.3">
      <c r="A440" s="3">
        <v>43859</v>
      </c>
      <c r="B440" s="4">
        <v>322.07</v>
      </c>
    </row>
    <row r="441" spans="1:2" x14ac:dyDescent="0.3">
      <c r="A441" s="11">
        <v>43860</v>
      </c>
      <c r="B441" s="12">
        <v>319.95999999999998</v>
      </c>
    </row>
    <row r="442" spans="1:2" x14ac:dyDescent="0.3">
      <c r="A442" s="3">
        <v>43861</v>
      </c>
      <c r="B442" s="4">
        <v>317.67</v>
      </c>
    </row>
    <row r="443" spans="1:2" x14ac:dyDescent="0.3">
      <c r="A443" s="11">
        <v>43864</v>
      </c>
      <c r="B443" s="12">
        <v>309.42</v>
      </c>
    </row>
    <row r="444" spans="1:2" x14ac:dyDescent="0.3">
      <c r="A444" s="3">
        <v>43865</v>
      </c>
      <c r="B444" s="4">
        <v>315.52</v>
      </c>
    </row>
    <row r="445" spans="1:2" x14ac:dyDescent="0.3">
      <c r="A445" s="11">
        <v>43866</v>
      </c>
      <c r="B445" s="12">
        <v>319</v>
      </c>
    </row>
    <row r="446" spans="1:2" x14ac:dyDescent="0.3">
      <c r="A446" s="3">
        <v>43867</v>
      </c>
      <c r="B446" s="4">
        <v>321.45</v>
      </c>
    </row>
    <row r="447" spans="1:2" x14ac:dyDescent="0.3">
      <c r="A447" s="11">
        <v>43868</v>
      </c>
      <c r="B447" s="12">
        <v>322.8</v>
      </c>
    </row>
    <row r="448" spans="1:2" x14ac:dyDescent="0.3">
      <c r="A448" s="3">
        <v>43871</v>
      </c>
      <c r="B448" s="4">
        <v>319.43</v>
      </c>
    </row>
    <row r="449" spans="1:2" x14ac:dyDescent="0.3">
      <c r="A449" s="11">
        <v>43872</v>
      </c>
      <c r="B449" s="12">
        <v>321.16000000000003</v>
      </c>
    </row>
    <row r="450" spans="1:2" x14ac:dyDescent="0.3">
      <c r="A450" s="3">
        <v>43873</v>
      </c>
      <c r="B450" s="4">
        <v>321.58</v>
      </c>
    </row>
    <row r="451" spans="1:2" x14ac:dyDescent="0.3">
      <c r="A451" s="11">
        <v>43874</v>
      </c>
      <c r="B451" s="12">
        <v>320.44</v>
      </c>
    </row>
    <row r="452" spans="1:2" x14ac:dyDescent="0.3">
      <c r="A452" s="3">
        <v>43875</v>
      </c>
      <c r="B452" s="4">
        <v>318.97000000000003</v>
      </c>
    </row>
    <row r="453" spans="1:2" x14ac:dyDescent="0.3">
      <c r="A453" s="11">
        <v>43878</v>
      </c>
      <c r="B453" s="12">
        <v>315.29000000000002</v>
      </c>
    </row>
    <row r="454" spans="1:2" x14ac:dyDescent="0.3">
      <c r="A454" s="3">
        <v>43879</v>
      </c>
      <c r="B454" s="4">
        <v>313.38</v>
      </c>
    </row>
    <row r="455" spans="1:2" x14ac:dyDescent="0.3">
      <c r="A455" s="11">
        <v>43880</v>
      </c>
      <c r="B455" s="12">
        <v>316.88</v>
      </c>
    </row>
    <row r="456" spans="1:2" x14ac:dyDescent="0.3">
      <c r="A456" s="3">
        <v>43881</v>
      </c>
      <c r="B456" s="4">
        <v>317.07</v>
      </c>
    </row>
    <row r="457" spans="1:2" x14ac:dyDescent="0.3">
      <c r="A457" s="11">
        <v>43885</v>
      </c>
      <c r="B457" s="12">
        <v>310.01</v>
      </c>
    </row>
    <row r="458" spans="1:2" x14ac:dyDescent="0.3">
      <c r="A458" s="3">
        <v>43886</v>
      </c>
      <c r="B458" s="4">
        <v>309.04000000000002</v>
      </c>
    </row>
    <row r="459" spans="1:2" x14ac:dyDescent="0.3">
      <c r="A459" s="11">
        <v>43887</v>
      </c>
      <c r="B459" s="12">
        <v>305.18</v>
      </c>
    </row>
    <row r="460" spans="1:2" x14ac:dyDescent="0.3">
      <c r="A460" s="3">
        <v>43888</v>
      </c>
      <c r="B460" s="4">
        <v>303.54000000000002</v>
      </c>
    </row>
    <row r="461" spans="1:2" x14ac:dyDescent="0.3">
      <c r="A461" s="11">
        <v>43889</v>
      </c>
      <c r="B461" s="12">
        <v>295.14999999999998</v>
      </c>
    </row>
    <row r="462" spans="1:2" x14ac:dyDescent="0.3">
      <c r="A462" s="3">
        <v>43892</v>
      </c>
      <c r="B462" s="4">
        <v>291.33999999999997</v>
      </c>
    </row>
    <row r="463" spans="1:2" x14ac:dyDescent="0.3">
      <c r="A463" s="11">
        <v>43893</v>
      </c>
      <c r="B463" s="12">
        <v>297.39</v>
      </c>
    </row>
    <row r="464" spans="1:2" x14ac:dyDescent="0.3">
      <c r="A464" s="3">
        <v>43894</v>
      </c>
      <c r="B464" s="4">
        <v>295.01</v>
      </c>
    </row>
    <row r="465" spans="1:2" x14ac:dyDescent="0.3">
      <c r="A465" s="11">
        <v>43895</v>
      </c>
      <c r="B465" s="12">
        <v>295.3</v>
      </c>
    </row>
    <row r="466" spans="1:2" x14ac:dyDescent="0.3">
      <c r="A466" s="3">
        <v>43896</v>
      </c>
      <c r="B466" s="4">
        <v>288.27999999999997</v>
      </c>
    </row>
    <row r="467" spans="1:2" x14ac:dyDescent="0.3">
      <c r="A467" s="11">
        <v>43899</v>
      </c>
      <c r="B467" s="12">
        <v>274.87</v>
      </c>
    </row>
    <row r="468" spans="1:2" x14ac:dyDescent="0.3">
      <c r="A468" s="3">
        <v>43901</v>
      </c>
      <c r="B468" s="4">
        <v>272.45</v>
      </c>
    </row>
    <row r="469" spans="1:2" x14ac:dyDescent="0.3">
      <c r="A469" s="11">
        <v>43902</v>
      </c>
      <c r="B469" s="12">
        <v>249.11</v>
      </c>
    </row>
    <row r="470" spans="1:2" x14ac:dyDescent="0.3">
      <c r="A470" s="3">
        <v>43903</v>
      </c>
      <c r="B470" s="4">
        <v>258.3</v>
      </c>
    </row>
    <row r="471" spans="1:2" x14ac:dyDescent="0.3">
      <c r="A471" s="11">
        <v>43906</v>
      </c>
      <c r="B471" s="12">
        <v>241.64</v>
      </c>
    </row>
    <row r="472" spans="1:2" x14ac:dyDescent="0.3">
      <c r="A472" s="3">
        <v>43907</v>
      </c>
      <c r="B472" s="4">
        <v>235.73</v>
      </c>
    </row>
    <row r="473" spans="1:2" x14ac:dyDescent="0.3">
      <c r="A473" s="11">
        <v>43908</v>
      </c>
      <c r="B473" s="12">
        <v>224.84</v>
      </c>
    </row>
    <row r="474" spans="1:2" x14ac:dyDescent="0.3">
      <c r="A474" s="3">
        <v>43909</v>
      </c>
      <c r="B474" s="4">
        <v>219.42</v>
      </c>
    </row>
    <row r="475" spans="1:2" x14ac:dyDescent="0.3">
      <c r="A475" s="11">
        <v>43910</v>
      </c>
      <c r="B475" s="12">
        <v>228.26</v>
      </c>
    </row>
    <row r="476" spans="1:2" x14ac:dyDescent="0.3">
      <c r="A476" s="3">
        <v>43913</v>
      </c>
      <c r="B476" s="4">
        <v>199.99</v>
      </c>
    </row>
    <row r="477" spans="1:2" x14ac:dyDescent="0.3">
      <c r="A477" s="11">
        <v>43914</v>
      </c>
      <c r="B477" s="12">
        <v>202.85</v>
      </c>
    </row>
    <row r="478" spans="1:2" x14ac:dyDescent="0.3">
      <c r="A478" s="3">
        <v>43915</v>
      </c>
      <c r="B478" s="4">
        <v>211.25</v>
      </c>
    </row>
    <row r="479" spans="1:2" x14ac:dyDescent="0.3">
      <c r="A479" s="11">
        <v>43916</v>
      </c>
      <c r="B479" s="12">
        <v>218.35</v>
      </c>
    </row>
    <row r="480" spans="1:2" x14ac:dyDescent="0.3">
      <c r="A480" s="3">
        <v>43917</v>
      </c>
      <c r="B480" s="4">
        <v>218.76</v>
      </c>
    </row>
    <row r="481" spans="1:2" x14ac:dyDescent="0.3">
      <c r="A481" s="11">
        <v>43920</v>
      </c>
      <c r="B481" s="12">
        <v>212.24</v>
      </c>
    </row>
    <row r="482" spans="1:2" x14ac:dyDescent="0.3">
      <c r="A482" s="3">
        <v>43921</v>
      </c>
      <c r="B482" s="4">
        <v>219.45</v>
      </c>
    </row>
    <row r="483" spans="1:2" x14ac:dyDescent="0.3">
      <c r="A483" s="11">
        <v>43922</v>
      </c>
      <c r="B483" s="12">
        <v>212.16</v>
      </c>
    </row>
    <row r="484" spans="1:2" x14ac:dyDescent="0.3">
      <c r="A484" s="3">
        <v>43924</v>
      </c>
      <c r="B484" s="4">
        <v>209.2</v>
      </c>
    </row>
    <row r="485" spans="1:2" x14ac:dyDescent="0.3">
      <c r="A485" s="11">
        <v>43928</v>
      </c>
      <c r="B485" s="12">
        <v>223.52</v>
      </c>
    </row>
    <row r="486" spans="1:2" x14ac:dyDescent="0.3">
      <c r="A486" s="3">
        <v>43929</v>
      </c>
      <c r="B486" s="4">
        <v>224.68</v>
      </c>
    </row>
    <row r="487" spans="1:2" x14ac:dyDescent="0.3">
      <c r="A487" s="11">
        <v>43930</v>
      </c>
      <c r="B487" s="12">
        <v>235.02</v>
      </c>
    </row>
    <row r="488" spans="1:2" x14ac:dyDescent="0.3">
      <c r="A488" s="3">
        <v>43934</v>
      </c>
      <c r="B488" s="4">
        <v>233.83</v>
      </c>
    </row>
    <row r="489" spans="1:2" x14ac:dyDescent="0.3">
      <c r="A489" s="11">
        <v>43936</v>
      </c>
      <c r="B489" s="12">
        <v>234.76</v>
      </c>
    </row>
    <row r="490" spans="1:2" x14ac:dyDescent="0.3">
      <c r="A490" s="3">
        <v>43937</v>
      </c>
      <c r="B490" s="4">
        <v>238.93</v>
      </c>
    </row>
    <row r="491" spans="1:2" x14ac:dyDescent="0.3">
      <c r="A491" s="11">
        <v>43938</v>
      </c>
      <c r="B491" s="12">
        <v>246.27</v>
      </c>
    </row>
    <row r="492" spans="1:2" x14ac:dyDescent="0.3">
      <c r="A492" s="3">
        <v>43941</v>
      </c>
      <c r="B492" s="4">
        <v>245.22</v>
      </c>
    </row>
    <row r="493" spans="1:2" x14ac:dyDescent="0.3">
      <c r="A493" s="11">
        <v>43942</v>
      </c>
      <c r="B493" s="12">
        <v>236.71</v>
      </c>
    </row>
    <row r="494" spans="1:2" x14ac:dyDescent="0.3">
      <c r="A494" s="3">
        <v>43943</v>
      </c>
      <c r="B494" s="4">
        <v>237.59</v>
      </c>
    </row>
    <row r="495" spans="1:2" x14ac:dyDescent="0.3">
      <c r="A495" s="11">
        <v>43944</v>
      </c>
      <c r="B495" s="12">
        <v>239.67</v>
      </c>
    </row>
    <row r="496" spans="1:2" x14ac:dyDescent="0.3">
      <c r="A496" s="3">
        <v>43945</v>
      </c>
      <c r="B496" s="4">
        <v>234.61</v>
      </c>
    </row>
    <row r="497" spans="1:2" x14ac:dyDescent="0.3">
      <c r="A497" s="11">
        <v>43948</v>
      </c>
      <c r="B497" s="12">
        <v>237.08</v>
      </c>
    </row>
    <row r="498" spans="1:2" x14ac:dyDescent="0.3">
      <c r="A498" s="3">
        <v>43949</v>
      </c>
      <c r="B498" s="4">
        <v>238.09</v>
      </c>
    </row>
    <row r="499" spans="1:2" x14ac:dyDescent="0.3">
      <c r="A499" s="11">
        <v>43950</v>
      </c>
      <c r="B499" s="12">
        <v>242.22</v>
      </c>
    </row>
    <row r="500" spans="1:2" x14ac:dyDescent="0.3">
      <c r="A500" s="3">
        <v>43951</v>
      </c>
      <c r="B500" s="4">
        <v>250.96</v>
      </c>
    </row>
    <row r="501" spans="1:2" x14ac:dyDescent="0.3">
      <c r="A501" s="11">
        <v>43955</v>
      </c>
      <c r="B501" s="12">
        <v>238.86</v>
      </c>
    </row>
    <row r="502" spans="1:2" x14ac:dyDescent="0.3">
      <c r="A502" s="3">
        <v>43956</v>
      </c>
      <c r="B502" s="4">
        <v>236.45</v>
      </c>
    </row>
    <row r="503" spans="1:2" x14ac:dyDescent="0.3">
      <c r="A503" s="11">
        <v>43957</v>
      </c>
      <c r="B503" s="12">
        <v>239.14</v>
      </c>
    </row>
    <row r="504" spans="1:2" x14ac:dyDescent="0.3">
      <c r="A504" s="3">
        <v>43958</v>
      </c>
      <c r="B504" s="4">
        <v>235.89</v>
      </c>
    </row>
    <row r="505" spans="1:2" x14ac:dyDescent="0.3">
      <c r="A505" s="11">
        <v>43959</v>
      </c>
      <c r="B505" s="12">
        <v>234.97</v>
      </c>
    </row>
    <row r="506" spans="1:2" x14ac:dyDescent="0.3">
      <c r="A506" s="3">
        <v>43962</v>
      </c>
      <c r="B506" s="4">
        <v>235.01</v>
      </c>
    </row>
    <row r="507" spans="1:2" x14ac:dyDescent="0.3">
      <c r="A507" s="11">
        <v>43963</v>
      </c>
      <c r="B507" s="12">
        <v>237.11</v>
      </c>
    </row>
    <row r="508" spans="1:2" x14ac:dyDescent="0.3">
      <c r="A508" s="3">
        <v>43964</v>
      </c>
      <c r="B508" s="4">
        <v>242.03</v>
      </c>
    </row>
    <row r="509" spans="1:2" x14ac:dyDescent="0.3">
      <c r="A509" s="11">
        <v>43965</v>
      </c>
      <c r="B509" s="12">
        <v>236.44</v>
      </c>
    </row>
    <row r="510" spans="1:2" x14ac:dyDescent="0.3">
      <c r="A510" s="3">
        <v>43966</v>
      </c>
      <c r="B510" s="4">
        <v>236.55</v>
      </c>
    </row>
    <row r="511" spans="1:2" x14ac:dyDescent="0.3">
      <c r="A511" s="11">
        <v>43969</v>
      </c>
      <c r="B511" s="12">
        <v>227.54</v>
      </c>
    </row>
    <row r="512" spans="1:2" x14ac:dyDescent="0.3">
      <c r="A512" s="3">
        <v>43970</v>
      </c>
      <c r="B512" s="4">
        <v>231.45</v>
      </c>
    </row>
    <row r="513" spans="1:2" x14ac:dyDescent="0.3">
      <c r="A513" s="11">
        <v>43971</v>
      </c>
      <c r="B513" s="12">
        <v>235.26</v>
      </c>
    </row>
    <row r="514" spans="1:2" x14ac:dyDescent="0.3">
      <c r="A514" s="3">
        <v>43972</v>
      </c>
      <c r="B514" s="4">
        <v>236.11</v>
      </c>
    </row>
    <row r="515" spans="1:2" x14ac:dyDescent="0.3">
      <c r="A515" s="11">
        <v>43973</v>
      </c>
      <c r="B515" s="12">
        <v>234.39</v>
      </c>
    </row>
    <row r="516" spans="1:2" x14ac:dyDescent="0.3">
      <c r="A516" s="3">
        <v>43977</v>
      </c>
      <c r="B516" s="4">
        <v>234.84</v>
      </c>
    </row>
    <row r="517" spans="1:2" x14ac:dyDescent="0.3">
      <c r="A517" s="11">
        <v>43978</v>
      </c>
      <c r="B517" s="12">
        <v>240.03</v>
      </c>
    </row>
    <row r="518" spans="1:2" x14ac:dyDescent="0.3">
      <c r="A518" s="3">
        <v>43979</v>
      </c>
      <c r="B518" s="4">
        <v>243.58</v>
      </c>
    </row>
    <row r="519" spans="1:2" x14ac:dyDescent="0.3">
      <c r="A519" s="11">
        <v>43980</v>
      </c>
      <c r="B519" s="12">
        <v>247.08</v>
      </c>
    </row>
    <row r="520" spans="1:2" x14ac:dyDescent="0.3">
      <c r="A520" s="3">
        <v>43983</v>
      </c>
      <c r="B520" s="4">
        <v>252.6</v>
      </c>
    </row>
    <row r="521" spans="1:2" x14ac:dyDescent="0.3">
      <c r="A521" s="11">
        <v>43984</v>
      </c>
      <c r="B521" s="12">
        <v>255.82</v>
      </c>
    </row>
    <row r="522" spans="1:2" x14ac:dyDescent="0.3">
      <c r="A522" s="3">
        <v>43985</v>
      </c>
      <c r="B522" s="4">
        <v>257.08999999999997</v>
      </c>
    </row>
    <row r="523" spans="1:2" x14ac:dyDescent="0.3">
      <c r="A523" s="11">
        <v>43986</v>
      </c>
      <c r="B523" s="12">
        <v>257.64</v>
      </c>
    </row>
    <row r="524" spans="1:2" x14ac:dyDescent="0.3">
      <c r="A524" s="3">
        <v>43987</v>
      </c>
      <c r="B524" s="4">
        <v>262.89999999999998</v>
      </c>
    </row>
    <row r="525" spans="1:2" x14ac:dyDescent="0.3">
      <c r="A525" s="11">
        <v>43990</v>
      </c>
      <c r="B525" s="12">
        <v>264.54000000000002</v>
      </c>
    </row>
    <row r="526" spans="1:2" x14ac:dyDescent="0.3">
      <c r="A526" s="3">
        <v>43991</v>
      </c>
      <c r="B526" s="4">
        <v>261.22000000000003</v>
      </c>
    </row>
    <row r="527" spans="1:2" x14ac:dyDescent="0.3">
      <c r="A527" s="11">
        <v>43992</v>
      </c>
      <c r="B527" s="12">
        <v>261.7</v>
      </c>
    </row>
    <row r="528" spans="1:2" x14ac:dyDescent="0.3">
      <c r="A528" s="3">
        <v>43993</v>
      </c>
      <c r="B528" s="4">
        <v>256.41000000000003</v>
      </c>
    </row>
    <row r="529" spans="1:2" x14ac:dyDescent="0.3">
      <c r="A529" s="11">
        <v>43994</v>
      </c>
      <c r="B529" s="12">
        <v>256.74</v>
      </c>
    </row>
    <row r="530" spans="1:2" x14ac:dyDescent="0.3">
      <c r="A530" s="3">
        <v>43997</v>
      </c>
      <c r="B530" s="4">
        <v>252.7</v>
      </c>
    </row>
    <row r="531" spans="1:2" x14ac:dyDescent="0.3">
      <c r="A531" s="11">
        <v>43998</v>
      </c>
      <c r="B531" s="12">
        <v>253.69</v>
      </c>
    </row>
    <row r="532" spans="1:2" x14ac:dyDescent="0.3">
      <c r="A532" s="3">
        <v>43999</v>
      </c>
      <c r="B532" s="4">
        <v>254.32</v>
      </c>
    </row>
    <row r="533" spans="1:2" x14ac:dyDescent="0.3">
      <c r="A533" s="11">
        <v>44000</v>
      </c>
      <c r="B533" s="12">
        <v>258.16000000000003</v>
      </c>
    </row>
    <row r="534" spans="1:2" x14ac:dyDescent="0.3">
      <c r="A534" s="3">
        <v>44001</v>
      </c>
      <c r="B534" s="4">
        <v>261.08999999999997</v>
      </c>
    </row>
    <row r="535" spans="1:2" x14ac:dyDescent="0.3">
      <c r="A535" s="11">
        <v>44004</v>
      </c>
      <c r="B535" s="12">
        <v>264.26</v>
      </c>
    </row>
    <row r="536" spans="1:2" x14ac:dyDescent="0.3">
      <c r="A536" s="3">
        <v>44005</v>
      </c>
      <c r="B536" s="4">
        <v>269.68</v>
      </c>
    </row>
    <row r="537" spans="1:2" x14ac:dyDescent="0.3">
      <c r="A537" s="11">
        <v>44006</v>
      </c>
      <c r="B537" s="12">
        <v>263.20999999999998</v>
      </c>
    </row>
    <row r="538" spans="1:2" x14ac:dyDescent="0.3">
      <c r="A538" s="3">
        <v>44007</v>
      </c>
      <c r="B538" s="4">
        <v>263.10000000000002</v>
      </c>
    </row>
    <row r="539" spans="1:2" x14ac:dyDescent="0.3">
      <c r="A539" s="11">
        <v>44008</v>
      </c>
      <c r="B539" s="12">
        <v>266.01</v>
      </c>
    </row>
    <row r="540" spans="1:2" x14ac:dyDescent="0.3">
      <c r="A540" s="3">
        <v>44011</v>
      </c>
      <c r="B540" s="4">
        <v>262.64999999999998</v>
      </c>
    </row>
    <row r="541" spans="1:2" x14ac:dyDescent="0.3">
      <c r="A541" s="11">
        <v>44012</v>
      </c>
      <c r="B541" s="12">
        <v>262.10000000000002</v>
      </c>
    </row>
    <row r="542" spans="1:2" x14ac:dyDescent="0.3">
      <c r="A542" s="3">
        <v>44013</v>
      </c>
      <c r="B542" s="4">
        <v>263.58999999999997</v>
      </c>
    </row>
    <row r="543" spans="1:2" x14ac:dyDescent="0.3">
      <c r="A543" s="11">
        <v>44014</v>
      </c>
      <c r="B543" s="12">
        <v>266.08</v>
      </c>
    </row>
    <row r="544" spans="1:2" x14ac:dyDescent="0.3">
      <c r="A544" s="3">
        <v>44015</v>
      </c>
      <c r="B544" s="4">
        <v>267.60000000000002</v>
      </c>
    </row>
    <row r="545" spans="1:2" x14ac:dyDescent="0.3">
      <c r="A545" s="11">
        <v>44018</v>
      </c>
      <c r="B545" s="12">
        <v>270.69</v>
      </c>
    </row>
    <row r="546" spans="1:2" x14ac:dyDescent="0.3">
      <c r="A546" s="3">
        <v>44019</v>
      </c>
      <c r="B546" s="4">
        <v>271.20999999999998</v>
      </c>
    </row>
    <row r="547" spans="1:2" x14ac:dyDescent="0.3">
      <c r="A547" s="11">
        <v>44020</v>
      </c>
      <c r="B547" s="12">
        <v>269.12</v>
      </c>
    </row>
    <row r="548" spans="1:2" x14ac:dyDescent="0.3">
      <c r="A548" s="3">
        <v>44021</v>
      </c>
      <c r="B548" s="4">
        <v>271.49</v>
      </c>
    </row>
    <row r="549" spans="1:2" x14ac:dyDescent="0.3">
      <c r="A549" s="11">
        <v>44022</v>
      </c>
      <c r="B549" s="12">
        <v>269.27999999999997</v>
      </c>
    </row>
    <row r="550" spans="1:2" x14ac:dyDescent="0.3">
      <c r="A550" s="3">
        <v>44025</v>
      </c>
      <c r="B550" s="4">
        <v>269.69</v>
      </c>
    </row>
    <row r="551" spans="1:2" x14ac:dyDescent="0.3">
      <c r="A551" s="11">
        <v>44026</v>
      </c>
      <c r="B551" s="12">
        <v>265.26</v>
      </c>
    </row>
    <row r="552" spans="1:2" x14ac:dyDescent="0.3">
      <c r="A552" s="3">
        <v>44027</v>
      </c>
      <c r="B552" s="4">
        <v>265.91000000000003</v>
      </c>
    </row>
    <row r="553" spans="1:2" x14ac:dyDescent="0.3">
      <c r="A553" s="11">
        <v>44028</v>
      </c>
      <c r="B553" s="12">
        <v>268.38</v>
      </c>
    </row>
    <row r="554" spans="1:2" x14ac:dyDescent="0.3">
      <c r="A554" s="3">
        <v>44029</v>
      </c>
      <c r="B554" s="4">
        <v>271.64999999999998</v>
      </c>
    </row>
    <row r="555" spans="1:2" x14ac:dyDescent="0.3">
      <c r="A555" s="11">
        <v>44032</v>
      </c>
      <c r="B555" s="12">
        <v>274.29000000000002</v>
      </c>
    </row>
    <row r="556" spans="1:2" x14ac:dyDescent="0.3">
      <c r="A556" s="3">
        <v>44033</v>
      </c>
      <c r="B556" s="4">
        <v>277.25</v>
      </c>
    </row>
    <row r="557" spans="1:2" x14ac:dyDescent="0.3">
      <c r="A557" s="11">
        <v>44034</v>
      </c>
      <c r="B557" s="12">
        <v>277.37</v>
      </c>
    </row>
    <row r="558" spans="1:2" x14ac:dyDescent="0.3">
      <c r="A558" s="3">
        <v>44035</v>
      </c>
      <c r="B558" s="4">
        <v>279.55</v>
      </c>
    </row>
    <row r="559" spans="1:2" x14ac:dyDescent="0.3">
      <c r="A559" s="11">
        <v>44036</v>
      </c>
      <c r="B559" s="12">
        <v>277.02</v>
      </c>
    </row>
    <row r="560" spans="1:2" x14ac:dyDescent="0.3">
      <c r="A560" s="3">
        <v>44039</v>
      </c>
      <c r="B560" s="4">
        <v>273.72000000000003</v>
      </c>
    </row>
    <row r="561" spans="1:2" x14ac:dyDescent="0.3">
      <c r="A561" s="11">
        <v>44040</v>
      </c>
      <c r="B561" s="12">
        <v>276.16000000000003</v>
      </c>
    </row>
    <row r="562" spans="1:2" x14ac:dyDescent="0.3">
      <c r="A562" s="3">
        <v>44041</v>
      </c>
      <c r="B562" s="4">
        <v>275.82</v>
      </c>
    </row>
    <row r="563" spans="1:2" x14ac:dyDescent="0.3">
      <c r="A563" s="11">
        <v>44042</v>
      </c>
      <c r="B563" s="12">
        <v>274.01</v>
      </c>
    </row>
    <row r="564" spans="1:2" x14ac:dyDescent="0.3">
      <c r="A564" s="3">
        <v>44043</v>
      </c>
      <c r="B564" s="4">
        <v>275.39</v>
      </c>
    </row>
    <row r="565" spans="1:2" x14ac:dyDescent="0.3">
      <c r="A565" s="11">
        <v>44046</v>
      </c>
      <c r="B565" s="12">
        <v>272.83999999999997</v>
      </c>
    </row>
    <row r="566" spans="1:2" x14ac:dyDescent="0.3">
      <c r="A566" s="3">
        <v>44047</v>
      </c>
      <c r="B566" s="4">
        <v>274.39</v>
      </c>
    </row>
    <row r="567" spans="1:2" x14ac:dyDescent="0.3">
      <c r="A567" s="11">
        <v>44048</v>
      </c>
      <c r="B567" s="12">
        <v>276.16000000000003</v>
      </c>
    </row>
    <row r="568" spans="1:2" x14ac:dyDescent="0.3">
      <c r="A568" s="3">
        <v>44049</v>
      </c>
      <c r="B568" s="4">
        <v>278.56</v>
      </c>
    </row>
    <row r="569" spans="1:2" x14ac:dyDescent="0.3">
      <c r="A569" s="11">
        <v>44050</v>
      </c>
      <c r="B569" s="12">
        <v>278.51</v>
      </c>
    </row>
    <row r="570" spans="1:2" x14ac:dyDescent="0.3">
      <c r="A570" s="3">
        <v>44053</v>
      </c>
      <c r="B570" s="4">
        <v>282.14</v>
      </c>
    </row>
    <row r="571" spans="1:2" x14ac:dyDescent="0.3">
      <c r="A571" s="11">
        <v>44054</v>
      </c>
      <c r="B571" s="12">
        <v>282.42</v>
      </c>
    </row>
    <row r="572" spans="1:2" x14ac:dyDescent="0.3">
      <c r="A572" s="3">
        <v>44055</v>
      </c>
      <c r="B572" s="4">
        <v>283.08999999999997</v>
      </c>
    </row>
    <row r="573" spans="1:2" x14ac:dyDescent="0.3">
      <c r="A573" s="11">
        <v>44056</v>
      </c>
      <c r="B573" s="12">
        <v>284.33</v>
      </c>
    </row>
    <row r="574" spans="1:2" x14ac:dyDescent="0.3">
      <c r="A574" s="3">
        <v>44057</v>
      </c>
      <c r="B574" s="4">
        <v>282.14999999999998</v>
      </c>
    </row>
    <row r="575" spans="1:2" x14ac:dyDescent="0.3">
      <c r="A575" s="11">
        <v>44060</v>
      </c>
      <c r="B575" s="12">
        <v>286</v>
      </c>
    </row>
    <row r="576" spans="1:2" x14ac:dyDescent="0.3">
      <c r="A576" s="3">
        <v>44061</v>
      </c>
      <c r="B576" s="4">
        <v>288.74</v>
      </c>
    </row>
    <row r="577" spans="1:2" x14ac:dyDescent="0.3">
      <c r="A577" s="11">
        <v>44062</v>
      </c>
      <c r="B577" s="12">
        <v>290.55</v>
      </c>
    </row>
    <row r="578" spans="1:2" x14ac:dyDescent="0.3">
      <c r="A578" s="3">
        <v>44063</v>
      </c>
      <c r="B578" s="4">
        <v>291.52999999999997</v>
      </c>
    </row>
    <row r="579" spans="1:2" x14ac:dyDescent="0.3">
      <c r="A579" s="11">
        <v>44064</v>
      </c>
      <c r="B579" s="12">
        <v>293.88</v>
      </c>
    </row>
    <row r="580" spans="1:2" x14ac:dyDescent="0.3">
      <c r="A580" s="3">
        <v>44067</v>
      </c>
      <c r="B580" s="4">
        <v>295.31</v>
      </c>
    </row>
    <row r="581" spans="1:2" x14ac:dyDescent="0.3">
      <c r="A581" s="11">
        <v>44068</v>
      </c>
      <c r="B581" s="12">
        <v>295.43</v>
      </c>
    </row>
    <row r="582" spans="1:2" x14ac:dyDescent="0.3">
      <c r="A582" s="3">
        <v>44069</v>
      </c>
      <c r="B582" s="4">
        <v>295.74</v>
      </c>
    </row>
    <row r="583" spans="1:2" x14ac:dyDescent="0.3">
      <c r="A583" s="11">
        <v>44070</v>
      </c>
      <c r="B583" s="12">
        <v>295.89</v>
      </c>
    </row>
    <row r="584" spans="1:2" x14ac:dyDescent="0.3">
      <c r="A584" s="3">
        <v>44071</v>
      </c>
      <c r="B584" s="4">
        <v>298.83999999999997</v>
      </c>
    </row>
    <row r="585" spans="1:2" x14ac:dyDescent="0.3">
      <c r="A585" s="11">
        <v>44074</v>
      </c>
      <c r="B585" s="12">
        <v>289.51</v>
      </c>
    </row>
    <row r="586" spans="1:2" x14ac:dyDescent="0.3">
      <c r="A586" s="3">
        <v>44075</v>
      </c>
      <c r="B586" s="4">
        <v>292.7</v>
      </c>
    </row>
    <row r="587" spans="1:2" x14ac:dyDescent="0.3">
      <c r="A587" s="11">
        <v>44076</v>
      </c>
      <c r="B587" s="12">
        <v>294.5</v>
      </c>
    </row>
    <row r="588" spans="1:2" x14ac:dyDescent="0.3">
      <c r="A588" s="3">
        <v>44077</v>
      </c>
      <c r="B588" s="4">
        <v>293.52</v>
      </c>
    </row>
    <row r="589" spans="1:2" x14ac:dyDescent="0.3">
      <c r="A589" s="11">
        <v>44078</v>
      </c>
      <c r="B589" s="12">
        <v>288.27</v>
      </c>
    </row>
    <row r="590" spans="1:2" x14ac:dyDescent="0.3">
      <c r="A590" s="3">
        <v>44081</v>
      </c>
      <c r="B590" s="4">
        <v>287.27999999999997</v>
      </c>
    </row>
    <row r="591" spans="1:2" x14ac:dyDescent="0.3">
      <c r="A591" s="11">
        <v>44082</v>
      </c>
      <c r="B591" s="12">
        <v>284.54000000000002</v>
      </c>
    </row>
    <row r="592" spans="1:2" x14ac:dyDescent="0.3">
      <c r="A592" s="3">
        <v>44083</v>
      </c>
      <c r="B592" s="4">
        <v>282.5</v>
      </c>
    </row>
    <row r="593" spans="1:2" x14ac:dyDescent="0.3">
      <c r="A593" s="11">
        <v>44084</v>
      </c>
      <c r="B593" s="12">
        <v>283.83999999999997</v>
      </c>
    </row>
    <row r="594" spans="1:2" x14ac:dyDescent="0.3">
      <c r="A594" s="3">
        <v>44085</v>
      </c>
      <c r="B594" s="4">
        <v>284.23</v>
      </c>
    </row>
    <row r="595" spans="1:2" x14ac:dyDescent="0.3">
      <c r="A595" s="11">
        <v>44088</v>
      </c>
      <c r="B595" s="12">
        <v>286.57</v>
      </c>
    </row>
    <row r="596" spans="1:2" x14ac:dyDescent="0.3">
      <c r="A596" s="3">
        <v>44089</v>
      </c>
      <c r="B596" s="4">
        <v>289.52</v>
      </c>
    </row>
    <row r="597" spans="1:2" x14ac:dyDescent="0.3">
      <c r="A597" s="11">
        <v>44090</v>
      </c>
      <c r="B597" s="12">
        <v>290.58</v>
      </c>
    </row>
    <row r="598" spans="1:2" x14ac:dyDescent="0.3">
      <c r="A598" s="3">
        <v>44091</v>
      </c>
      <c r="B598" s="4">
        <v>288.33</v>
      </c>
    </row>
    <row r="599" spans="1:2" x14ac:dyDescent="0.3">
      <c r="A599" s="11">
        <v>44092</v>
      </c>
      <c r="B599" s="12">
        <v>289.42</v>
      </c>
    </row>
    <row r="600" spans="1:2" x14ac:dyDescent="0.3">
      <c r="A600" s="3">
        <v>44095</v>
      </c>
      <c r="B600" s="4">
        <v>280.32</v>
      </c>
    </row>
    <row r="601" spans="1:2" x14ac:dyDescent="0.3">
      <c r="A601" s="11">
        <v>44096</v>
      </c>
      <c r="B601" s="12">
        <v>277.95</v>
      </c>
    </row>
    <row r="602" spans="1:2" x14ac:dyDescent="0.3">
      <c r="A602" s="3">
        <v>44097</v>
      </c>
      <c r="B602" s="4">
        <v>276.52999999999997</v>
      </c>
    </row>
    <row r="603" spans="1:2" x14ac:dyDescent="0.3">
      <c r="A603" s="11">
        <v>44098</v>
      </c>
      <c r="B603" s="12">
        <v>268.56</v>
      </c>
    </row>
    <row r="604" spans="1:2" x14ac:dyDescent="0.3">
      <c r="A604" s="3">
        <v>44099</v>
      </c>
      <c r="B604" s="4">
        <v>275.55</v>
      </c>
    </row>
    <row r="605" spans="1:2" x14ac:dyDescent="0.3">
      <c r="A605" s="11">
        <v>44102</v>
      </c>
      <c r="B605" s="12">
        <v>281.49</v>
      </c>
    </row>
    <row r="606" spans="1:2" x14ac:dyDescent="0.3">
      <c r="A606" s="3">
        <v>44103</v>
      </c>
      <c r="B606" s="4">
        <v>280.14999999999998</v>
      </c>
    </row>
    <row r="607" spans="1:2" x14ac:dyDescent="0.3">
      <c r="A607" s="11">
        <v>44104</v>
      </c>
      <c r="B607" s="12">
        <v>280.12</v>
      </c>
    </row>
    <row r="608" spans="1:2" x14ac:dyDescent="0.3">
      <c r="A608" s="3">
        <v>44105</v>
      </c>
      <c r="B608" s="4">
        <v>283.68</v>
      </c>
    </row>
    <row r="609" spans="1:2" x14ac:dyDescent="0.3">
      <c r="A609" s="11">
        <v>44109</v>
      </c>
      <c r="B609" s="12">
        <v>284.77</v>
      </c>
    </row>
    <row r="610" spans="1:2" x14ac:dyDescent="0.3">
      <c r="A610" s="3">
        <v>44110</v>
      </c>
      <c r="B610" s="4">
        <v>286.11</v>
      </c>
    </row>
    <row r="611" spans="1:2" x14ac:dyDescent="0.3">
      <c r="A611" s="11">
        <v>44111</v>
      </c>
      <c r="B611" s="12">
        <v>285.35000000000002</v>
      </c>
    </row>
    <row r="612" spans="1:2" x14ac:dyDescent="0.3">
      <c r="A612" s="3">
        <v>44112</v>
      </c>
      <c r="B612" s="4">
        <v>287.45</v>
      </c>
    </row>
    <row r="613" spans="1:2" x14ac:dyDescent="0.3">
      <c r="A613" s="11">
        <v>44113</v>
      </c>
      <c r="B613" s="12">
        <v>289.86</v>
      </c>
    </row>
    <row r="614" spans="1:2" x14ac:dyDescent="0.3">
      <c r="A614" s="3">
        <v>44116</v>
      </c>
      <c r="B614" s="4">
        <v>287.66000000000003</v>
      </c>
    </row>
    <row r="615" spans="1:2" x14ac:dyDescent="0.3">
      <c r="A615" s="11">
        <v>44117</v>
      </c>
      <c r="B615" s="12">
        <v>286.69</v>
      </c>
    </row>
    <row r="616" spans="1:2" x14ac:dyDescent="0.3">
      <c r="A616" s="3">
        <v>44118</v>
      </c>
      <c r="B616" s="4">
        <v>286.10000000000002</v>
      </c>
    </row>
    <row r="617" spans="1:2" x14ac:dyDescent="0.3">
      <c r="A617" s="11">
        <v>44119</v>
      </c>
      <c r="B617" s="12">
        <v>280.3</v>
      </c>
    </row>
    <row r="618" spans="1:2" x14ac:dyDescent="0.3">
      <c r="A618" s="3">
        <v>44120</v>
      </c>
      <c r="B618" s="4">
        <v>283.20999999999998</v>
      </c>
    </row>
    <row r="619" spans="1:2" x14ac:dyDescent="0.3">
      <c r="A619" s="11">
        <v>44123</v>
      </c>
      <c r="B619" s="12">
        <v>286.75</v>
      </c>
    </row>
    <row r="620" spans="1:2" x14ac:dyDescent="0.3">
      <c r="A620" s="3">
        <v>44124</v>
      </c>
      <c r="B620" s="4">
        <v>287.86</v>
      </c>
    </row>
    <row r="621" spans="1:2" x14ac:dyDescent="0.3">
      <c r="A621" s="11">
        <v>44125</v>
      </c>
      <c r="B621" s="12">
        <v>289.89999999999998</v>
      </c>
    </row>
    <row r="622" spans="1:2" x14ac:dyDescent="0.3">
      <c r="A622" s="3">
        <v>44126</v>
      </c>
      <c r="B622" s="4">
        <v>290.51</v>
      </c>
    </row>
    <row r="623" spans="1:2" x14ac:dyDescent="0.3">
      <c r="A623" s="11">
        <v>44127</v>
      </c>
      <c r="B623" s="12">
        <v>292.45</v>
      </c>
    </row>
    <row r="624" spans="1:2" x14ac:dyDescent="0.3">
      <c r="A624" s="3">
        <v>44130</v>
      </c>
      <c r="B624" s="4">
        <v>288.60000000000002</v>
      </c>
    </row>
    <row r="625" spans="1:2" x14ac:dyDescent="0.3">
      <c r="A625" s="11">
        <v>44131</v>
      </c>
      <c r="B625" s="12">
        <v>291.23</v>
      </c>
    </row>
    <row r="626" spans="1:2" x14ac:dyDescent="0.3">
      <c r="A626" s="3">
        <v>44132</v>
      </c>
      <c r="B626" s="4">
        <v>288.89999999999998</v>
      </c>
    </row>
    <row r="627" spans="1:2" x14ac:dyDescent="0.3">
      <c r="A627" s="11">
        <v>44133</v>
      </c>
      <c r="B627" s="12">
        <v>287.8</v>
      </c>
    </row>
    <row r="628" spans="1:2" x14ac:dyDescent="0.3">
      <c r="A628" s="3">
        <v>44134</v>
      </c>
      <c r="B628" s="4">
        <v>287.08999999999997</v>
      </c>
    </row>
    <row r="629" spans="1:2" x14ac:dyDescent="0.3">
      <c r="A629" s="11">
        <v>44137</v>
      </c>
      <c r="B629" s="12">
        <v>289.52999999999997</v>
      </c>
    </row>
    <row r="630" spans="1:2" x14ac:dyDescent="0.3">
      <c r="A630" s="3">
        <v>44138</v>
      </c>
      <c r="B630" s="4">
        <v>292.06</v>
      </c>
    </row>
    <row r="631" spans="1:2" x14ac:dyDescent="0.3">
      <c r="A631" s="11">
        <v>44139</v>
      </c>
      <c r="B631" s="12">
        <v>293.83999999999997</v>
      </c>
    </row>
    <row r="632" spans="1:2" x14ac:dyDescent="0.3">
      <c r="A632" s="3">
        <v>44140</v>
      </c>
      <c r="B632" s="4">
        <v>298.56</v>
      </c>
    </row>
    <row r="633" spans="1:2" x14ac:dyDescent="0.3">
      <c r="A633" s="11">
        <v>44141</v>
      </c>
      <c r="B633" s="12">
        <v>300.72000000000003</v>
      </c>
    </row>
    <row r="634" spans="1:2" x14ac:dyDescent="0.3">
      <c r="A634" s="3">
        <v>44144</v>
      </c>
      <c r="B634" s="4">
        <v>306.76</v>
      </c>
    </row>
    <row r="635" spans="1:2" x14ac:dyDescent="0.3">
      <c r="A635" s="11">
        <v>44145</v>
      </c>
      <c r="B635" s="12">
        <v>309.2</v>
      </c>
    </row>
    <row r="636" spans="1:2" x14ac:dyDescent="0.3">
      <c r="A636" s="3">
        <v>44146</v>
      </c>
      <c r="B636" s="4">
        <v>311.74</v>
      </c>
    </row>
    <row r="637" spans="1:2" x14ac:dyDescent="0.3">
      <c r="A637" s="11">
        <v>44147</v>
      </c>
      <c r="B637" s="12">
        <v>311.25</v>
      </c>
    </row>
    <row r="638" spans="1:2" x14ac:dyDescent="0.3">
      <c r="A638" s="3">
        <v>44148</v>
      </c>
      <c r="B638" s="4">
        <v>312.47000000000003</v>
      </c>
    </row>
    <row r="639" spans="1:2" x14ac:dyDescent="0.3">
      <c r="A639" s="11">
        <v>44152</v>
      </c>
      <c r="B639" s="12">
        <v>315.68</v>
      </c>
    </row>
    <row r="640" spans="1:2" x14ac:dyDescent="0.3">
      <c r="A640" s="3">
        <v>44153</v>
      </c>
      <c r="B640" s="4">
        <v>317.83999999999997</v>
      </c>
    </row>
    <row r="641" spans="1:2" x14ac:dyDescent="0.3">
      <c r="A641" s="11">
        <v>44154</v>
      </c>
      <c r="B641" s="12">
        <v>315</v>
      </c>
    </row>
    <row r="642" spans="1:2" x14ac:dyDescent="0.3">
      <c r="A642" s="3">
        <v>44155</v>
      </c>
      <c r="B642" s="4">
        <v>317.58999999999997</v>
      </c>
    </row>
    <row r="643" spans="1:2" x14ac:dyDescent="0.3">
      <c r="A643" s="11">
        <v>44158</v>
      </c>
      <c r="B643" s="12">
        <v>320.33</v>
      </c>
    </row>
    <row r="644" spans="1:2" x14ac:dyDescent="0.3">
      <c r="A644" s="3">
        <v>44159</v>
      </c>
      <c r="B644" s="4">
        <v>323.14999999999998</v>
      </c>
    </row>
    <row r="645" spans="1:2" x14ac:dyDescent="0.3">
      <c r="A645" s="11">
        <v>44160</v>
      </c>
      <c r="B645" s="12">
        <v>319.93</v>
      </c>
    </row>
    <row r="646" spans="1:2" x14ac:dyDescent="0.3">
      <c r="A646" s="3">
        <v>44161</v>
      </c>
      <c r="B646" s="4">
        <v>322.64</v>
      </c>
    </row>
    <row r="647" spans="1:2" x14ac:dyDescent="0.3">
      <c r="A647" s="11">
        <v>44162</v>
      </c>
      <c r="B647" s="12">
        <v>325.39999999999998</v>
      </c>
    </row>
    <row r="648" spans="1:2" x14ac:dyDescent="0.3">
      <c r="A648" s="3">
        <v>44166</v>
      </c>
      <c r="B648" s="4">
        <v>330.55</v>
      </c>
    </row>
    <row r="649" spans="1:2" x14ac:dyDescent="0.3">
      <c r="A649" s="11">
        <v>44167</v>
      </c>
      <c r="B649" s="12">
        <v>331.26</v>
      </c>
    </row>
    <row r="650" spans="1:2" x14ac:dyDescent="0.3">
      <c r="A650" s="3">
        <v>44168</v>
      </c>
      <c r="B650" s="4">
        <v>333.32</v>
      </c>
    </row>
    <row r="651" spans="1:2" x14ac:dyDescent="0.3">
      <c r="A651" s="11">
        <v>44169</v>
      </c>
      <c r="B651" s="12">
        <v>337.12</v>
      </c>
    </row>
    <row r="652" spans="1:2" x14ac:dyDescent="0.3">
      <c r="A652" s="3">
        <v>44172</v>
      </c>
      <c r="B652" s="4">
        <v>341.12</v>
      </c>
    </row>
    <row r="653" spans="1:2" x14ac:dyDescent="0.3">
      <c r="A653" s="11">
        <v>44173</v>
      </c>
      <c r="B653" s="12">
        <v>341.18</v>
      </c>
    </row>
    <row r="654" spans="1:2" x14ac:dyDescent="0.3">
      <c r="A654" s="3">
        <v>44174</v>
      </c>
      <c r="B654" s="4">
        <v>342.92</v>
      </c>
    </row>
    <row r="655" spans="1:2" x14ac:dyDescent="0.3">
      <c r="A655" s="11">
        <v>44175</v>
      </c>
      <c r="B655" s="12">
        <v>341.26</v>
      </c>
    </row>
    <row r="656" spans="1:2" x14ac:dyDescent="0.3">
      <c r="A656" s="3">
        <v>44176</v>
      </c>
      <c r="B656" s="4">
        <v>343.72</v>
      </c>
    </row>
    <row r="657" spans="1:2" x14ac:dyDescent="0.3">
      <c r="A657" s="11">
        <v>44179</v>
      </c>
      <c r="B657" s="12">
        <v>346.54</v>
      </c>
    </row>
    <row r="658" spans="1:2" x14ac:dyDescent="0.3">
      <c r="A658" s="3">
        <v>44180</v>
      </c>
      <c r="B658" s="4">
        <v>346.04</v>
      </c>
    </row>
    <row r="659" spans="1:2" x14ac:dyDescent="0.3">
      <c r="A659" s="11">
        <v>44181</v>
      </c>
      <c r="B659" s="12">
        <v>347.78</v>
      </c>
    </row>
    <row r="660" spans="1:2" x14ac:dyDescent="0.3">
      <c r="A660" s="3">
        <v>44182</v>
      </c>
      <c r="B660" s="4">
        <v>347.11</v>
      </c>
    </row>
    <row r="661" spans="1:2" x14ac:dyDescent="0.3">
      <c r="A661" s="11">
        <v>44183</v>
      </c>
      <c r="B661" s="12">
        <v>347.34</v>
      </c>
    </row>
    <row r="662" spans="1:2" x14ac:dyDescent="0.3">
      <c r="A662" s="3">
        <v>44186</v>
      </c>
      <c r="B662" s="4">
        <v>333.85</v>
      </c>
    </row>
    <row r="663" spans="1:2" x14ac:dyDescent="0.3">
      <c r="A663" s="11">
        <v>44187</v>
      </c>
      <c r="B663" s="12">
        <v>337.39</v>
      </c>
    </row>
    <row r="664" spans="1:2" x14ac:dyDescent="0.3">
      <c r="A664" s="3">
        <v>44188</v>
      </c>
      <c r="B664" s="4">
        <v>342.87</v>
      </c>
    </row>
    <row r="665" spans="1:2" x14ac:dyDescent="0.3">
      <c r="A665" s="11">
        <v>44189</v>
      </c>
      <c r="B665" s="12">
        <v>345.24</v>
      </c>
    </row>
    <row r="666" spans="1:2" x14ac:dyDescent="0.3">
      <c r="A666" s="3">
        <v>44193</v>
      </c>
      <c r="B666" s="4">
        <v>348.92</v>
      </c>
    </row>
    <row r="667" spans="1:2" x14ac:dyDescent="0.3">
      <c r="A667" s="11">
        <v>44194</v>
      </c>
      <c r="B667" s="12">
        <v>349.38</v>
      </c>
    </row>
    <row r="668" spans="1:2" x14ac:dyDescent="0.3">
      <c r="A668" s="3">
        <v>44195</v>
      </c>
      <c r="B668" s="4">
        <v>350.02</v>
      </c>
    </row>
    <row r="669" spans="1:2" x14ac:dyDescent="0.3">
      <c r="A669" s="11">
        <v>44196</v>
      </c>
      <c r="B669" s="12">
        <v>350.92</v>
      </c>
    </row>
    <row r="670" spans="1:2" x14ac:dyDescent="0.3">
      <c r="A670" s="3">
        <v>44197</v>
      </c>
      <c r="B670" s="4">
        <v>352.66</v>
      </c>
    </row>
    <row r="671" spans="1:2" x14ac:dyDescent="0.3">
      <c r="A671" s="11">
        <v>44200</v>
      </c>
      <c r="B671" s="12">
        <v>356.45</v>
      </c>
    </row>
    <row r="672" spans="1:2" x14ac:dyDescent="0.3">
      <c r="A672" s="3">
        <v>44201</v>
      </c>
      <c r="B672" s="4">
        <v>358.92</v>
      </c>
    </row>
    <row r="673" spans="1:2" x14ac:dyDescent="0.3">
      <c r="A673" s="11">
        <v>44202</v>
      </c>
      <c r="B673" s="12">
        <v>358.84</v>
      </c>
    </row>
    <row r="674" spans="1:2" x14ac:dyDescent="0.3">
      <c r="A674" s="3">
        <v>44203</v>
      </c>
      <c r="B674" s="4">
        <v>360.72</v>
      </c>
    </row>
    <row r="675" spans="1:2" x14ac:dyDescent="0.3">
      <c r="A675" s="11">
        <v>44204</v>
      </c>
      <c r="B675" s="12">
        <v>364.42</v>
      </c>
    </row>
    <row r="676" spans="1:2" x14ac:dyDescent="0.3">
      <c r="A676" s="3">
        <v>44207</v>
      </c>
      <c r="B676" s="4">
        <v>366.1</v>
      </c>
    </row>
    <row r="677" spans="1:2" x14ac:dyDescent="0.3">
      <c r="A677" s="11">
        <v>44208</v>
      </c>
      <c r="B677" s="12">
        <v>369.43</v>
      </c>
    </row>
    <row r="678" spans="1:2" x14ac:dyDescent="0.3">
      <c r="A678" s="3">
        <v>44209</v>
      </c>
      <c r="B678" s="4">
        <v>370.14</v>
      </c>
    </row>
    <row r="679" spans="1:2" x14ac:dyDescent="0.3">
      <c r="A679" s="11">
        <v>44210</v>
      </c>
      <c r="B679" s="12">
        <v>369.32</v>
      </c>
    </row>
    <row r="680" spans="1:2" x14ac:dyDescent="0.3">
      <c r="A680" s="3">
        <v>44211</v>
      </c>
      <c r="B680" s="4">
        <v>365.02</v>
      </c>
    </row>
    <row r="681" spans="1:2" x14ac:dyDescent="0.3">
      <c r="A681" s="11">
        <v>44214</v>
      </c>
      <c r="B681" s="12">
        <v>358.98</v>
      </c>
    </row>
    <row r="682" spans="1:2" x14ac:dyDescent="0.3">
      <c r="A682" s="3">
        <v>44215</v>
      </c>
      <c r="B682" s="4">
        <v>364.69</v>
      </c>
    </row>
    <row r="683" spans="1:2" x14ac:dyDescent="0.3">
      <c r="A683" s="11">
        <v>44216</v>
      </c>
      <c r="B683" s="12">
        <v>366.98</v>
      </c>
    </row>
    <row r="684" spans="1:2" x14ac:dyDescent="0.3">
      <c r="A684" s="3">
        <v>44217</v>
      </c>
      <c r="B684" s="4">
        <v>365.13</v>
      </c>
    </row>
    <row r="685" spans="1:2" x14ac:dyDescent="0.3">
      <c r="A685" s="11">
        <v>44218</v>
      </c>
      <c r="B685" s="12">
        <v>363.32</v>
      </c>
    </row>
    <row r="686" spans="1:2" x14ac:dyDescent="0.3">
      <c r="A686" s="3">
        <v>44221</v>
      </c>
      <c r="B686" s="4">
        <v>361.06</v>
      </c>
    </row>
    <row r="687" spans="1:2" x14ac:dyDescent="0.3">
      <c r="A687" s="11">
        <v>44223</v>
      </c>
      <c r="B687" s="12">
        <v>355.11</v>
      </c>
    </row>
    <row r="688" spans="1:2" x14ac:dyDescent="0.3">
      <c r="A688" s="3">
        <v>44224</v>
      </c>
      <c r="B688" s="4">
        <v>352.51</v>
      </c>
    </row>
    <row r="689" spans="1:2" x14ac:dyDescent="0.3">
      <c r="A689" s="11">
        <v>44225</v>
      </c>
      <c r="B689" s="12">
        <v>350.2</v>
      </c>
    </row>
    <row r="690" spans="1:2" x14ac:dyDescent="0.3">
      <c r="A690" s="3">
        <v>44228</v>
      </c>
      <c r="B690" s="4">
        <v>365.17</v>
      </c>
    </row>
    <row r="691" spans="1:2" x14ac:dyDescent="0.3">
      <c r="A691" s="11">
        <v>44229</v>
      </c>
      <c r="B691" s="12">
        <v>376.15</v>
      </c>
    </row>
    <row r="692" spans="1:2" x14ac:dyDescent="0.3">
      <c r="A692" s="3">
        <v>44230</v>
      </c>
      <c r="B692" s="4">
        <v>380.47</v>
      </c>
    </row>
    <row r="693" spans="1:2" x14ac:dyDescent="0.3">
      <c r="A693" s="11">
        <v>44231</v>
      </c>
      <c r="B693" s="12">
        <v>384.36</v>
      </c>
    </row>
    <row r="694" spans="1:2" x14ac:dyDescent="0.3">
      <c r="A694" s="3">
        <v>44232</v>
      </c>
      <c r="B694" s="4">
        <v>383.19</v>
      </c>
    </row>
    <row r="695" spans="1:2" x14ac:dyDescent="0.3">
      <c r="A695" s="11">
        <v>44235</v>
      </c>
      <c r="B695" s="12">
        <v>388.57</v>
      </c>
    </row>
    <row r="696" spans="1:2" x14ac:dyDescent="0.3">
      <c r="A696" s="3">
        <v>44236</v>
      </c>
      <c r="B696" s="4">
        <v>388.77</v>
      </c>
    </row>
    <row r="697" spans="1:2" x14ac:dyDescent="0.3">
      <c r="A697" s="11">
        <v>44237</v>
      </c>
      <c r="B697" s="12">
        <v>389.5</v>
      </c>
    </row>
    <row r="698" spans="1:2" x14ac:dyDescent="0.3">
      <c r="A698" s="3">
        <v>44238</v>
      </c>
      <c r="B698" s="4">
        <v>392.62</v>
      </c>
    </row>
    <row r="699" spans="1:2" x14ac:dyDescent="0.3">
      <c r="A699" s="11">
        <v>44239</v>
      </c>
      <c r="B699" s="12">
        <v>393.72</v>
      </c>
    </row>
    <row r="700" spans="1:2" x14ac:dyDescent="0.3">
      <c r="A700" s="3">
        <v>44242</v>
      </c>
      <c r="B700" s="4">
        <v>398.44</v>
      </c>
    </row>
    <row r="701" spans="1:2" x14ac:dyDescent="0.3">
      <c r="A701" s="11">
        <v>44243</v>
      </c>
      <c r="B701" s="12">
        <v>397.6</v>
      </c>
    </row>
    <row r="702" spans="1:2" x14ac:dyDescent="0.3">
      <c r="A702" s="3">
        <v>44244</v>
      </c>
      <c r="B702" s="4">
        <v>398.04</v>
      </c>
    </row>
    <row r="703" spans="1:2" x14ac:dyDescent="0.3">
      <c r="A703" s="11">
        <v>44245</v>
      </c>
      <c r="B703" s="12">
        <v>397.7</v>
      </c>
    </row>
    <row r="704" spans="1:2" x14ac:dyDescent="0.3">
      <c r="A704" s="3">
        <v>44246</v>
      </c>
      <c r="B704" s="4">
        <v>392.04</v>
      </c>
    </row>
    <row r="705" spans="1:2" x14ac:dyDescent="0.3">
      <c r="A705" s="11">
        <v>44249</v>
      </c>
      <c r="B705" s="12">
        <v>385.82</v>
      </c>
    </row>
    <row r="706" spans="1:2" x14ac:dyDescent="0.3">
      <c r="A706" s="3">
        <v>44250</v>
      </c>
      <c r="B706" s="4">
        <v>389.08</v>
      </c>
    </row>
    <row r="707" spans="1:2" x14ac:dyDescent="0.3">
      <c r="A707" s="11">
        <v>44251</v>
      </c>
      <c r="B707" s="12">
        <v>394.74</v>
      </c>
    </row>
    <row r="708" spans="1:2" x14ac:dyDescent="0.3">
      <c r="A708" s="3">
        <v>44252</v>
      </c>
      <c r="B708" s="4">
        <v>397.72</v>
      </c>
    </row>
    <row r="709" spans="1:2" x14ac:dyDescent="0.3">
      <c r="A709" s="11">
        <v>44253</v>
      </c>
      <c r="B709" s="12">
        <v>389.05</v>
      </c>
    </row>
    <row r="710" spans="1:2" x14ac:dyDescent="0.3">
      <c r="A710" s="3">
        <v>44256</v>
      </c>
      <c r="B710" s="4">
        <v>393.6</v>
      </c>
    </row>
    <row r="711" spans="1:2" x14ac:dyDescent="0.3">
      <c r="A711" s="11">
        <v>44257</v>
      </c>
      <c r="B711" s="12">
        <v>397.36</v>
      </c>
    </row>
    <row r="712" spans="1:2" x14ac:dyDescent="0.3">
      <c r="A712" s="3">
        <v>44258</v>
      </c>
      <c r="B712" s="4">
        <v>403.85</v>
      </c>
    </row>
    <row r="713" spans="1:2" x14ac:dyDescent="0.3">
      <c r="A713" s="11">
        <v>44259</v>
      </c>
      <c r="B713" s="12">
        <v>402.98</v>
      </c>
    </row>
    <row r="714" spans="1:2" x14ac:dyDescent="0.3">
      <c r="A714" s="3">
        <v>44260</v>
      </c>
      <c r="B714" s="4">
        <v>397.03</v>
      </c>
    </row>
    <row r="715" spans="1:2" x14ac:dyDescent="0.3">
      <c r="A715" s="11">
        <v>44263</v>
      </c>
      <c r="B715" s="12">
        <v>398.08</v>
      </c>
    </row>
    <row r="716" spans="1:2" x14ac:dyDescent="0.3">
      <c r="A716" s="3">
        <v>44264</v>
      </c>
      <c r="B716" s="4">
        <v>398.65</v>
      </c>
    </row>
    <row r="717" spans="1:2" x14ac:dyDescent="0.3">
      <c r="A717" s="11">
        <v>44265</v>
      </c>
      <c r="B717" s="12">
        <v>400.95</v>
      </c>
    </row>
    <row r="718" spans="1:2" x14ac:dyDescent="0.3">
      <c r="A718" s="3">
        <v>44267</v>
      </c>
      <c r="B718" s="4">
        <v>398.27</v>
      </c>
    </row>
    <row r="719" spans="1:2" x14ac:dyDescent="0.3">
      <c r="A719" s="11">
        <v>44270</v>
      </c>
      <c r="B719" s="12">
        <v>396.31</v>
      </c>
    </row>
    <row r="720" spans="1:2" x14ac:dyDescent="0.3">
      <c r="A720" s="3">
        <v>44271</v>
      </c>
      <c r="B720" s="4">
        <v>396.31</v>
      </c>
    </row>
    <row r="721" spans="1:2" x14ac:dyDescent="0.3">
      <c r="A721" s="11">
        <v>44272</v>
      </c>
      <c r="B721" s="12">
        <v>389.59</v>
      </c>
    </row>
    <row r="722" spans="1:2" x14ac:dyDescent="0.3">
      <c r="A722" s="3">
        <v>44273</v>
      </c>
      <c r="B722" s="4">
        <v>384.29</v>
      </c>
    </row>
    <row r="723" spans="1:2" x14ac:dyDescent="0.3">
      <c r="A723" s="11">
        <v>44274</v>
      </c>
      <c r="B723" s="12">
        <v>386.82</v>
      </c>
    </row>
    <row r="724" spans="1:2" x14ac:dyDescent="0.3">
      <c r="A724" s="3">
        <v>44277</v>
      </c>
      <c r="B724" s="4">
        <v>385.66</v>
      </c>
    </row>
    <row r="725" spans="1:2" x14ac:dyDescent="0.3">
      <c r="A725" s="11">
        <v>44278</v>
      </c>
      <c r="B725" s="12">
        <v>388.72</v>
      </c>
    </row>
    <row r="726" spans="1:2" x14ac:dyDescent="0.3">
      <c r="A726" s="3">
        <v>44279</v>
      </c>
      <c r="B726" s="4">
        <v>381.8</v>
      </c>
    </row>
    <row r="727" spans="1:2" x14ac:dyDescent="0.3">
      <c r="A727" s="11">
        <v>44280</v>
      </c>
      <c r="B727" s="12">
        <v>376.66</v>
      </c>
    </row>
    <row r="728" spans="1:2" x14ac:dyDescent="0.3">
      <c r="A728" s="3">
        <v>44281</v>
      </c>
      <c r="B728" s="4">
        <v>381.18</v>
      </c>
    </row>
    <row r="729" spans="1:2" x14ac:dyDescent="0.3">
      <c r="A729" s="11">
        <v>44285</v>
      </c>
      <c r="B729" s="12">
        <v>385.72</v>
      </c>
    </row>
    <row r="730" spans="1:2" x14ac:dyDescent="0.3">
      <c r="A730" s="3">
        <v>44286</v>
      </c>
      <c r="B730" s="4">
        <v>384.61</v>
      </c>
    </row>
    <row r="731" spans="1:2" x14ac:dyDescent="0.3">
      <c r="A731" s="11">
        <v>44287</v>
      </c>
      <c r="B731" s="12">
        <v>389.39</v>
      </c>
    </row>
    <row r="732" spans="1:2" x14ac:dyDescent="0.3">
      <c r="A732" s="3">
        <v>44291</v>
      </c>
      <c r="B732" s="4">
        <v>382.45</v>
      </c>
    </row>
    <row r="733" spans="1:2" x14ac:dyDescent="0.3">
      <c r="A733" s="11">
        <v>44292</v>
      </c>
      <c r="B733" s="12">
        <v>382.35</v>
      </c>
    </row>
    <row r="734" spans="1:2" x14ac:dyDescent="0.3">
      <c r="A734" s="3">
        <v>44293</v>
      </c>
      <c r="B734" s="4">
        <v>387.88</v>
      </c>
    </row>
    <row r="735" spans="1:2" x14ac:dyDescent="0.3">
      <c r="A735" s="11">
        <v>44294</v>
      </c>
      <c r="B735" s="12">
        <v>390.42</v>
      </c>
    </row>
    <row r="736" spans="1:2" x14ac:dyDescent="0.3">
      <c r="A736" s="3">
        <v>44295</v>
      </c>
      <c r="B736" s="4">
        <v>389.58</v>
      </c>
    </row>
    <row r="737" spans="1:2" x14ac:dyDescent="0.3">
      <c r="A737" s="11">
        <v>44298</v>
      </c>
      <c r="B737" s="12">
        <v>372.19</v>
      </c>
    </row>
    <row r="738" spans="1:2" x14ac:dyDescent="0.3">
      <c r="A738" s="3">
        <v>44299</v>
      </c>
      <c r="B738" s="4">
        <v>378</v>
      </c>
    </row>
    <row r="739" spans="1:2" x14ac:dyDescent="0.3">
      <c r="A739" s="11">
        <v>44301</v>
      </c>
      <c r="B739" s="12">
        <v>378.64</v>
      </c>
    </row>
    <row r="740" spans="1:2" x14ac:dyDescent="0.3">
      <c r="A740" s="3">
        <v>44302</v>
      </c>
      <c r="B740" s="4">
        <v>380.25</v>
      </c>
    </row>
    <row r="741" spans="1:2" x14ac:dyDescent="0.3">
      <c r="A741" s="11">
        <v>44305</v>
      </c>
      <c r="B741" s="12">
        <v>374.06</v>
      </c>
    </row>
    <row r="742" spans="1:2" x14ac:dyDescent="0.3">
      <c r="A742" s="3">
        <v>44306</v>
      </c>
      <c r="B742" s="4">
        <v>373.14</v>
      </c>
    </row>
    <row r="743" spans="1:2" x14ac:dyDescent="0.3">
      <c r="A743" s="11">
        <v>44308</v>
      </c>
      <c r="B743" s="12">
        <v>376.39</v>
      </c>
    </row>
    <row r="744" spans="1:2" x14ac:dyDescent="0.3">
      <c r="A744" s="3">
        <v>44309</v>
      </c>
      <c r="B744" s="4">
        <v>375.54</v>
      </c>
    </row>
    <row r="745" spans="1:2" x14ac:dyDescent="0.3">
      <c r="A745" s="11">
        <v>44312</v>
      </c>
      <c r="B745" s="12">
        <v>379.67</v>
      </c>
    </row>
    <row r="746" spans="1:2" x14ac:dyDescent="0.3">
      <c r="A746" s="3">
        <v>44313</v>
      </c>
      <c r="B746" s="4">
        <v>383.87</v>
      </c>
    </row>
    <row r="747" spans="1:2" x14ac:dyDescent="0.3">
      <c r="A747" s="11">
        <v>44314</v>
      </c>
      <c r="B747" s="12">
        <v>390.51</v>
      </c>
    </row>
    <row r="748" spans="1:2" x14ac:dyDescent="0.3">
      <c r="A748" s="3">
        <v>44315</v>
      </c>
      <c r="B748" s="4">
        <v>390.35</v>
      </c>
    </row>
    <row r="749" spans="1:2" x14ac:dyDescent="0.3">
      <c r="A749" s="11">
        <v>44316</v>
      </c>
      <c r="B749" s="12">
        <v>386.61</v>
      </c>
    </row>
    <row r="750" spans="1:2" x14ac:dyDescent="0.3">
      <c r="A750" s="3">
        <v>44319</v>
      </c>
      <c r="B750" s="4">
        <v>387.86</v>
      </c>
    </row>
    <row r="751" spans="1:2" x14ac:dyDescent="0.3">
      <c r="A751" s="11">
        <v>44320</v>
      </c>
      <c r="B751" s="12">
        <v>385.7</v>
      </c>
    </row>
    <row r="752" spans="1:2" x14ac:dyDescent="0.3">
      <c r="A752" s="3">
        <v>44321</v>
      </c>
      <c r="B752" s="4">
        <v>387.9</v>
      </c>
    </row>
    <row r="753" spans="1:2" x14ac:dyDescent="0.3">
      <c r="A753" s="11">
        <v>44322</v>
      </c>
      <c r="B753" s="12">
        <v>390.48</v>
      </c>
    </row>
    <row r="754" spans="1:2" x14ac:dyDescent="0.3">
      <c r="A754" s="3">
        <v>44323</v>
      </c>
      <c r="B754" s="4">
        <v>391.78</v>
      </c>
    </row>
    <row r="755" spans="1:2" x14ac:dyDescent="0.3">
      <c r="A755" s="11">
        <v>44326</v>
      </c>
      <c r="B755" s="12">
        <v>395.67</v>
      </c>
    </row>
    <row r="756" spans="1:2" x14ac:dyDescent="0.3">
      <c r="A756" s="3">
        <v>44327</v>
      </c>
      <c r="B756" s="4">
        <v>397.58</v>
      </c>
    </row>
    <row r="757" spans="1:2" x14ac:dyDescent="0.3">
      <c r="A757" s="11">
        <v>44328</v>
      </c>
      <c r="B757" s="12">
        <v>395.3</v>
      </c>
    </row>
    <row r="758" spans="1:2" x14ac:dyDescent="0.3">
      <c r="A758" s="3">
        <v>44330</v>
      </c>
      <c r="B758" s="4">
        <v>393</v>
      </c>
    </row>
    <row r="759" spans="1:2" x14ac:dyDescent="0.3">
      <c r="A759" s="11">
        <v>44333</v>
      </c>
      <c r="B759" s="12">
        <v>400.36</v>
      </c>
    </row>
    <row r="760" spans="1:2" x14ac:dyDescent="0.3">
      <c r="A760" s="3">
        <v>44334</v>
      </c>
      <c r="B760" s="4">
        <v>406.42</v>
      </c>
    </row>
    <row r="761" spans="1:2" x14ac:dyDescent="0.3">
      <c r="A761" s="11">
        <v>44335</v>
      </c>
      <c r="B761" s="12">
        <v>407.15</v>
      </c>
    </row>
    <row r="762" spans="1:2" x14ac:dyDescent="0.3">
      <c r="A762" s="3">
        <v>44336</v>
      </c>
      <c r="B762" s="4">
        <v>406.73</v>
      </c>
    </row>
    <row r="763" spans="1:2" x14ac:dyDescent="0.3">
      <c r="A763" s="11">
        <v>44337</v>
      </c>
      <c r="B763" s="12">
        <v>413.75</v>
      </c>
    </row>
    <row r="764" spans="1:2" x14ac:dyDescent="0.3">
      <c r="A764" s="3">
        <v>44340</v>
      </c>
      <c r="B764" s="4">
        <v>417.16</v>
      </c>
    </row>
    <row r="765" spans="1:2" x14ac:dyDescent="0.3">
      <c r="A765" s="11">
        <v>44341</v>
      </c>
      <c r="B765" s="12">
        <v>417.32</v>
      </c>
    </row>
    <row r="766" spans="1:2" x14ac:dyDescent="0.3">
      <c r="A766" s="3">
        <v>44342</v>
      </c>
      <c r="B766" s="4">
        <v>419.83</v>
      </c>
    </row>
    <row r="767" spans="1:2" x14ac:dyDescent="0.3">
      <c r="A767" s="11">
        <v>44343</v>
      </c>
      <c r="B767" s="12">
        <v>420.48</v>
      </c>
    </row>
    <row r="768" spans="1:2" x14ac:dyDescent="0.3">
      <c r="A768" s="3">
        <v>44344</v>
      </c>
      <c r="B768" s="4">
        <v>418.29</v>
      </c>
    </row>
    <row r="769" spans="1:2" x14ac:dyDescent="0.3">
      <c r="A769" s="11">
        <v>44347</v>
      </c>
      <c r="B769" s="12">
        <v>421.19</v>
      </c>
    </row>
    <row r="770" spans="1:2" x14ac:dyDescent="0.3">
      <c r="A770" s="3">
        <v>44348</v>
      </c>
      <c r="B770" s="4">
        <v>418.89</v>
      </c>
    </row>
    <row r="771" spans="1:2" x14ac:dyDescent="0.3">
      <c r="A771" s="11">
        <v>44349</v>
      </c>
      <c r="B771" s="12">
        <v>422.62</v>
      </c>
    </row>
    <row r="772" spans="1:2" x14ac:dyDescent="0.3">
      <c r="A772" s="3">
        <v>44350</v>
      </c>
      <c r="B772" s="4">
        <v>426.53</v>
      </c>
    </row>
    <row r="773" spans="1:2" x14ac:dyDescent="0.3">
      <c r="A773" s="11">
        <v>44351</v>
      </c>
      <c r="B773" s="12">
        <v>426.96</v>
      </c>
    </row>
    <row r="774" spans="1:2" x14ac:dyDescent="0.3">
      <c r="A774" s="3">
        <v>44354</v>
      </c>
      <c r="B774" s="4">
        <v>431.1</v>
      </c>
    </row>
    <row r="775" spans="1:2" x14ac:dyDescent="0.3">
      <c r="A775" s="11">
        <v>44355</v>
      </c>
      <c r="B775" s="12">
        <v>431.12</v>
      </c>
    </row>
    <row r="776" spans="1:2" x14ac:dyDescent="0.3">
      <c r="A776" s="3">
        <v>44356</v>
      </c>
      <c r="B776" s="4">
        <v>426.9</v>
      </c>
    </row>
    <row r="777" spans="1:2" x14ac:dyDescent="0.3">
      <c r="A777" s="11">
        <v>44357</v>
      </c>
      <c r="B777" s="12">
        <v>431.25</v>
      </c>
    </row>
    <row r="778" spans="1:2" x14ac:dyDescent="0.3">
      <c r="A778" s="3">
        <v>44358</v>
      </c>
      <c r="B778" s="4">
        <v>430.71</v>
      </c>
    </row>
    <row r="779" spans="1:2" x14ac:dyDescent="0.3">
      <c r="A779" s="11">
        <v>44361</v>
      </c>
      <c r="B779" s="12">
        <v>430.63</v>
      </c>
    </row>
    <row r="780" spans="1:2" x14ac:dyDescent="0.3">
      <c r="A780" s="3">
        <v>44362</v>
      </c>
      <c r="B780" s="4">
        <v>433.19</v>
      </c>
    </row>
    <row r="781" spans="1:2" x14ac:dyDescent="0.3">
      <c r="A781" s="11">
        <v>44363</v>
      </c>
      <c r="B781" s="12">
        <v>431.13</v>
      </c>
    </row>
    <row r="782" spans="1:2" x14ac:dyDescent="0.3">
      <c r="A782" s="3">
        <v>44364</v>
      </c>
      <c r="B782" s="4">
        <v>427.49</v>
      </c>
    </row>
    <row r="783" spans="1:2" x14ac:dyDescent="0.3">
      <c r="A783" s="11">
        <v>44365</v>
      </c>
      <c r="B783" s="12">
        <v>424.8</v>
      </c>
    </row>
    <row r="784" spans="1:2" x14ac:dyDescent="0.3">
      <c r="A784" s="3">
        <v>44368</v>
      </c>
      <c r="B784" s="4">
        <v>426.87</v>
      </c>
    </row>
    <row r="785" spans="1:2" x14ac:dyDescent="0.3">
      <c r="A785" s="11">
        <v>44369</v>
      </c>
      <c r="B785" s="12">
        <v>428.09</v>
      </c>
    </row>
    <row r="786" spans="1:2" x14ac:dyDescent="0.3">
      <c r="A786" s="3">
        <v>44370</v>
      </c>
      <c r="B786" s="4">
        <v>426.73</v>
      </c>
    </row>
    <row r="787" spans="1:2" x14ac:dyDescent="0.3">
      <c r="A787" s="11">
        <v>44371</v>
      </c>
      <c r="B787" s="12">
        <v>428.56</v>
      </c>
    </row>
    <row r="788" spans="1:2" x14ac:dyDescent="0.3">
      <c r="A788" s="3">
        <v>44372</v>
      </c>
      <c r="B788" s="4">
        <v>431.36</v>
      </c>
    </row>
    <row r="789" spans="1:2" x14ac:dyDescent="0.3">
      <c r="A789" s="11">
        <v>44375</v>
      </c>
      <c r="B789" s="12">
        <v>431.77</v>
      </c>
    </row>
    <row r="790" spans="1:2" x14ac:dyDescent="0.3">
      <c r="A790" s="3">
        <v>44376</v>
      </c>
      <c r="B790" s="4">
        <v>430.72</v>
      </c>
    </row>
    <row r="791" spans="1:2" x14ac:dyDescent="0.3">
      <c r="A791" s="11">
        <v>44377</v>
      </c>
      <c r="B791" s="12">
        <v>431.72</v>
      </c>
    </row>
    <row r="792" spans="1:2" x14ac:dyDescent="0.3">
      <c r="A792" s="3">
        <v>44378</v>
      </c>
      <c r="B792" s="4">
        <v>431.74</v>
      </c>
    </row>
    <row r="793" spans="1:2" x14ac:dyDescent="0.3">
      <c r="A793" s="11">
        <v>44379</v>
      </c>
      <c r="B793" s="12">
        <v>432.8</v>
      </c>
    </row>
    <row r="794" spans="1:2" x14ac:dyDescent="0.3">
      <c r="A794" s="3">
        <v>44382</v>
      </c>
      <c r="B794" s="4">
        <v>435.63</v>
      </c>
    </row>
    <row r="795" spans="1:2" x14ac:dyDescent="0.3">
      <c r="A795" s="11">
        <v>44383</v>
      </c>
      <c r="B795" s="12">
        <v>436.92</v>
      </c>
    </row>
    <row r="796" spans="1:2" x14ac:dyDescent="0.3">
      <c r="A796" s="3">
        <v>44384</v>
      </c>
      <c r="B796" s="4">
        <v>437.88</v>
      </c>
    </row>
    <row r="797" spans="1:2" x14ac:dyDescent="0.3">
      <c r="A797" s="11">
        <v>44385</v>
      </c>
      <c r="B797" s="12">
        <v>435.12</v>
      </c>
    </row>
    <row r="798" spans="1:2" x14ac:dyDescent="0.3">
      <c r="A798" s="3">
        <v>44386</v>
      </c>
      <c r="B798" s="4">
        <v>436.18</v>
      </c>
    </row>
    <row r="799" spans="1:2" x14ac:dyDescent="0.3">
      <c r="A799" s="11">
        <v>44389</v>
      </c>
      <c r="B799" s="12">
        <v>439.39</v>
      </c>
    </row>
    <row r="800" spans="1:2" x14ac:dyDescent="0.3">
      <c r="A800" s="3">
        <v>44390</v>
      </c>
      <c r="B800" s="4">
        <v>444.1</v>
      </c>
    </row>
    <row r="801" spans="1:2" x14ac:dyDescent="0.3">
      <c r="A801" s="11">
        <v>44391</v>
      </c>
      <c r="B801" s="12">
        <v>446.18</v>
      </c>
    </row>
    <row r="802" spans="1:2" x14ac:dyDescent="0.3">
      <c r="A802" s="3">
        <v>44392</v>
      </c>
      <c r="B802" s="4">
        <v>448.2</v>
      </c>
    </row>
    <row r="803" spans="1:2" x14ac:dyDescent="0.3">
      <c r="A803" s="11">
        <v>44393</v>
      </c>
      <c r="B803" s="12">
        <v>452.56</v>
      </c>
    </row>
    <row r="804" spans="1:2" x14ac:dyDescent="0.3">
      <c r="A804" s="3">
        <v>44396</v>
      </c>
      <c r="B804" s="4">
        <v>450.16</v>
      </c>
    </row>
    <row r="805" spans="1:2" x14ac:dyDescent="0.3">
      <c r="A805" s="11">
        <v>44397</v>
      </c>
      <c r="B805" s="12">
        <v>443.32</v>
      </c>
    </row>
    <row r="806" spans="1:2" x14ac:dyDescent="0.3">
      <c r="A806" s="3">
        <v>44399</v>
      </c>
      <c r="B806" s="4">
        <v>450.59</v>
      </c>
    </row>
    <row r="807" spans="1:2" x14ac:dyDescent="0.3">
      <c r="A807" s="11">
        <v>44400</v>
      </c>
      <c r="B807" s="12">
        <v>452.08</v>
      </c>
    </row>
    <row r="808" spans="1:2" x14ac:dyDescent="0.3">
      <c r="A808" s="3">
        <v>44403</v>
      </c>
      <c r="B808" s="4">
        <v>451.42</v>
      </c>
    </row>
    <row r="809" spans="1:2" x14ac:dyDescent="0.3">
      <c r="A809" s="11">
        <v>44404</v>
      </c>
      <c r="B809" s="12">
        <v>450.6</v>
      </c>
    </row>
    <row r="810" spans="1:2" x14ac:dyDescent="0.3">
      <c r="A810" s="3">
        <v>44405</v>
      </c>
      <c r="B810" s="4">
        <v>449.52</v>
      </c>
    </row>
    <row r="811" spans="1:2" x14ac:dyDescent="0.3">
      <c r="A811" s="11">
        <v>44406</v>
      </c>
      <c r="B811" s="12">
        <v>453.67</v>
      </c>
    </row>
    <row r="812" spans="1:2" x14ac:dyDescent="0.3">
      <c r="A812" s="3">
        <v>44407</v>
      </c>
      <c r="B812" s="4">
        <v>454.6</v>
      </c>
    </row>
    <row r="813" spans="1:2" x14ac:dyDescent="0.3">
      <c r="A813" s="11">
        <v>44410</v>
      </c>
      <c r="B813" s="12">
        <v>456.85</v>
      </c>
    </row>
    <row r="814" spans="1:2" x14ac:dyDescent="0.3">
      <c r="A814" s="3">
        <v>44411</v>
      </c>
      <c r="B814" s="4">
        <v>460.04</v>
      </c>
    </row>
    <row r="815" spans="1:2" x14ac:dyDescent="0.3">
      <c r="A815" s="11">
        <v>44412</v>
      </c>
      <c r="B815" s="12">
        <v>460.2</v>
      </c>
    </row>
    <row r="816" spans="1:2" x14ac:dyDescent="0.3">
      <c r="A816" s="3">
        <v>44413</v>
      </c>
      <c r="B816" s="4">
        <v>459.17</v>
      </c>
    </row>
    <row r="817" spans="1:2" x14ac:dyDescent="0.3">
      <c r="A817" s="11">
        <v>44414</v>
      </c>
      <c r="B817" s="12">
        <v>458.29</v>
      </c>
    </row>
    <row r="818" spans="1:2" x14ac:dyDescent="0.3">
      <c r="A818" s="3">
        <v>44417</v>
      </c>
      <c r="B818" s="4">
        <v>457.98</v>
      </c>
    </row>
    <row r="819" spans="1:2" x14ac:dyDescent="0.3">
      <c r="A819" s="11">
        <v>44418</v>
      </c>
      <c r="B819" s="12">
        <v>453.68</v>
      </c>
    </row>
    <row r="820" spans="1:2" x14ac:dyDescent="0.3">
      <c r="A820" s="3">
        <v>44419</v>
      </c>
      <c r="B820" s="4">
        <v>453.25</v>
      </c>
    </row>
    <row r="821" spans="1:2" x14ac:dyDescent="0.3">
      <c r="A821" s="11">
        <v>44420</v>
      </c>
      <c r="B821" s="12">
        <v>457.41</v>
      </c>
    </row>
    <row r="822" spans="1:2" x14ac:dyDescent="0.3">
      <c r="A822" s="3">
        <v>44421</v>
      </c>
      <c r="B822" s="4">
        <v>458.03</v>
      </c>
    </row>
    <row r="823" spans="1:2" x14ac:dyDescent="0.3">
      <c r="A823" s="11">
        <v>44424</v>
      </c>
      <c r="B823" s="12">
        <v>456.51</v>
      </c>
    </row>
    <row r="824" spans="1:2" x14ac:dyDescent="0.3">
      <c r="A824" s="3">
        <v>44425</v>
      </c>
      <c r="B824" s="4">
        <v>456.65</v>
      </c>
    </row>
    <row r="825" spans="1:2" x14ac:dyDescent="0.3">
      <c r="A825" s="11">
        <v>44426</v>
      </c>
      <c r="B825" s="12">
        <v>455.66</v>
      </c>
    </row>
    <row r="826" spans="1:2" x14ac:dyDescent="0.3">
      <c r="A826" s="3">
        <v>44428</v>
      </c>
      <c r="B826" s="4">
        <v>446.61</v>
      </c>
    </row>
    <row r="827" spans="1:2" x14ac:dyDescent="0.3">
      <c r="A827" s="11">
        <v>44431</v>
      </c>
      <c r="B827" s="12">
        <v>444.32</v>
      </c>
    </row>
    <row r="828" spans="1:2" x14ac:dyDescent="0.3">
      <c r="A828" s="3">
        <v>44432</v>
      </c>
      <c r="B828" s="4">
        <v>450.01</v>
      </c>
    </row>
    <row r="829" spans="1:2" x14ac:dyDescent="0.3">
      <c r="A829" s="11">
        <v>44433</v>
      </c>
      <c r="B829" s="12">
        <v>451.78</v>
      </c>
    </row>
    <row r="830" spans="1:2" x14ac:dyDescent="0.3">
      <c r="A830" s="3">
        <v>44434</v>
      </c>
      <c r="B830" s="4">
        <v>451.74</v>
      </c>
    </row>
    <row r="831" spans="1:2" x14ac:dyDescent="0.3">
      <c r="A831" s="11">
        <v>44435</v>
      </c>
      <c r="B831" s="12">
        <v>453.24</v>
      </c>
    </row>
    <row r="832" spans="1:2" x14ac:dyDescent="0.3">
      <c r="A832" s="3">
        <v>44438</v>
      </c>
      <c r="B832" s="4">
        <v>460.75</v>
      </c>
    </row>
    <row r="833" spans="1:2" x14ac:dyDescent="0.3">
      <c r="A833" s="11">
        <v>44439</v>
      </c>
      <c r="B833" s="12">
        <v>465.51</v>
      </c>
    </row>
    <row r="834" spans="1:2" x14ac:dyDescent="0.3">
      <c r="A834" s="3">
        <v>44440</v>
      </c>
      <c r="B834" s="4">
        <v>466.83</v>
      </c>
    </row>
    <row r="835" spans="1:2" x14ac:dyDescent="0.3">
      <c r="A835" s="11">
        <v>44441</v>
      </c>
      <c r="B835" s="12">
        <v>468.8</v>
      </c>
    </row>
    <row r="836" spans="1:2" x14ac:dyDescent="0.3">
      <c r="A836" s="3">
        <v>44442</v>
      </c>
      <c r="B836" s="4">
        <v>470.49</v>
      </c>
    </row>
    <row r="837" spans="1:2" x14ac:dyDescent="0.3">
      <c r="A837" s="11">
        <v>44445</v>
      </c>
      <c r="B837" s="12">
        <v>473.36</v>
      </c>
    </row>
    <row r="838" spans="1:2" x14ac:dyDescent="0.3">
      <c r="A838" s="3">
        <v>44446</v>
      </c>
      <c r="B838" s="4">
        <v>473.88</v>
      </c>
    </row>
    <row r="839" spans="1:2" x14ac:dyDescent="0.3">
      <c r="A839" s="11">
        <v>44447</v>
      </c>
      <c r="B839" s="12">
        <v>473.71</v>
      </c>
    </row>
    <row r="840" spans="1:2" x14ac:dyDescent="0.3">
      <c r="A840" s="3">
        <v>44448</v>
      </c>
      <c r="B840" s="4">
        <v>473.63</v>
      </c>
    </row>
    <row r="841" spans="1:2" x14ac:dyDescent="0.3">
      <c r="A841" s="11">
        <v>44452</v>
      </c>
      <c r="B841" s="12">
        <v>474.11</v>
      </c>
    </row>
    <row r="842" spans="1:2" x14ac:dyDescent="0.3">
      <c r="A842" s="3">
        <v>44453</v>
      </c>
      <c r="B842" s="4">
        <v>476.93</v>
      </c>
    </row>
    <row r="843" spans="1:2" x14ac:dyDescent="0.3">
      <c r="A843" s="11">
        <v>44454</v>
      </c>
      <c r="B843" s="12">
        <v>481.19</v>
      </c>
    </row>
    <row r="844" spans="1:2" x14ac:dyDescent="0.3">
      <c r="A844" s="3">
        <v>44455</v>
      </c>
      <c r="B844" s="4">
        <v>483.48</v>
      </c>
    </row>
    <row r="845" spans="1:2" x14ac:dyDescent="0.3">
      <c r="A845" s="11">
        <v>44456</v>
      </c>
      <c r="B845" s="12">
        <v>481.52</v>
      </c>
    </row>
    <row r="846" spans="1:2" x14ac:dyDescent="0.3">
      <c r="A846" s="3">
        <v>44459</v>
      </c>
      <c r="B846" s="4">
        <v>473.95</v>
      </c>
    </row>
    <row r="847" spans="1:2" x14ac:dyDescent="0.3">
      <c r="A847" s="11">
        <v>44460</v>
      </c>
      <c r="B847" s="12">
        <v>476.08</v>
      </c>
    </row>
    <row r="848" spans="1:2" x14ac:dyDescent="0.3">
      <c r="A848" s="3">
        <v>44461</v>
      </c>
      <c r="B848" s="4">
        <v>479.16</v>
      </c>
    </row>
    <row r="849" spans="1:2" x14ac:dyDescent="0.3">
      <c r="A849" s="11">
        <v>44462</v>
      </c>
      <c r="B849" s="12">
        <v>483.48</v>
      </c>
    </row>
    <row r="850" spans="1:2" x14ac:dyDescent="0.3">
      <c r="A850" s="3">
        <v>44463</v>
      </c>
      <c r="B850" s="4">
        <v>482.34</v>
      </c>
    </row>
    <row r="851" spans="1:2" x14ac:dyDescent="0.3">
      <c r="A851" s="11">
        <v>44466</v>
      </c>
      <c r="B851" s="12">
        <v>482.15</v>
      </c>
    </row>
    <row r="852" spans="1:2" x14ac:dyDescent="0.3">
      <c r="A852" s="3">
        <v>44467</v>
      </c>
      <c r="B852" s="4">
        <v>477.46</v>
      </c>
    </row>
    <row r="853" spans="1:2" x14ac:dyDescent="0.3">
      <c r="A853" s="11">
        <v>44468</v>
      </c>
      <c r="B853" s="12">
        <v>477.52</v>
      </c>
    </row>
    <row r="854" spans="1:2" x14ac:dyDescent="0.3">
      <c r="A854" s="3">
        <v>44469</v>
      </c>
      <c r="B854" s="4">
        <v>477.8</v>
      </c>
    </row>
    <row r="855" spans="1:2" x14ac:dyDescent="0.3">
      <c r="A855" s="11">
        <v>44470</v>
      </c>
      <c r="B855" s="12">
        <v>478.59</v>
      </c>
    </row>
    <row r="856" spans="1:2" x14ac:dyDescent="0.3">
      <c r="A856" s="3">
        <v>44473</v>
      </c>
      <c r="B856" s="4">
        <v>482.42</v>
      </c>
    </row>
    <row r="857" spans="1:2" x14ac:dyDescent="0.3">
      <c r="A857" s="11">
        <v>44474</v>
      </c>
      <c r="B857" s="12">
        <v>484.04</v>
      </c>
    </row>
    <row r="858" spans="1:2" x14ac:dyDescent="0.3">
      <c r="A858" s="3">
        <v>44475</v>
      </c>
      <c r="B858" s="4">
        <v>479.05</v>
      </c>
    </row>
    <row r="859" spans="1:2" x14ac:dyDescent="0.3">
      <c r="A859" s="11">
        <v>44476</v>
      </c>
      <c r="B859" s="12">
        <v>485.24</v>
      </c>
    </row>
    <row r="860" spans="1:2" x14ac:dyDescent="0.3">
      <c r="A860" s="3">
        <v>44477</v>
      </c>
      <c r="B860" s="4">
        <v>487.69</v>
      </c>
    </row>
    <row r="861" spans="1:2" x14ac:dyDescent="0.3">
      <c r="A861" s="11">
        <v>44480</v>
      </c>
      <c r="B861" s="12">
        <v>491.3</v>
      </c>
    </row>
    <row r="862" spans="1:2" x14ac:dyDescent="0.3">
      <c r="A862" s="3">
        <v>44481</v>
      </c>
      <c r="B862" s="4">
        <v>492.76</v>
      </c>
    </row>
    <row r="863" spans="1:2" x14ac:dyDescent="0.3">
      <c r="A863" s="11">
        <v>44482</v>
      </c>
      <c r="B863" s="12">
        <v>498.95</v>
      </c>
    </row>
    <row r="864" spans="1:2" x14ac:dyDescent="0.3">
      <c r="A864" s="3">
        <v>44483</v>
      </c>
      <c r="B864" s="4">
        <v>503.85</v>
      </c>
    </row>
    <row r="865" spans="1:2" x14ac:dyDescent="0.3">
      <c r="A865" s="11">
        <v>44487</v>
      </c>
      <c r="B865" s="12">
        <v>504.99</v>
      </c>
    </row>
    <row r="866" spans="1:2" x14ac:dyDescent="0.3">
      <c r="A866" s="3">
        <v>44488</v>
      </c>
      <c r="B866" s="4">
        <v>500.67</v>
      </c>
    </row>
    <row r="867" spans="1:2" x14ac:dyDescent="0.3">
      <c r="A867" s="11">
        <v>44489</v>
      </c>
      <c r="B867" s="12">
        <v>495.35</v>
      </c>
    </row>
    <row r="868" spans="1:2" x14ac:dyDescent="0.3">
      <c r="A868" s="3">
        <v>44490</v>
      </c>
      <c r="B868" s="4">
        <v>493.31</v>
      </c>
    </row>
    <row r="869" spans="1:2" x14ac:dyDescent="0.3">
      <c r="A869" s="11">
        <v>44491</v>
      </c>
      <c r="B869" s="12">
        <v>492.01</v>
      </c>
    </row>
    <row r="870" spans="1:2" x14ac:dyDescent="0.3">
      <c r="A870" s="3">
        <v>44494</v>
      </c>
      <c r="B870" s="4">
        <v>492.43</v>
      </c>
    </row>
    <row r="871" spans="1:2" x14ac:dyDescent="0.3">
      <c r="A871" s="11">
        <v>44495</v>
      </c>
      <c r="B871" s="12">
        <v>497.66</v>
      </c>
    </row>
    <row r="872" spans="1:2" x14ac:dyDescent="0.3">
      <c r="A872" s="3">
        <v>44496</v>
      </c>
      <c r="B872" s="4">
        <v>497.68</v>
      </c>
    </row>
    <row r="873" spans="1:2" x14ac:dyDescent="0.3">
      <c r="A873" s="11">
        <v>44497</v>
      </c>
      <c r="B873" s="12">
        <v>490.37</v>
      </c>
    </row>
    <row r="874" spans="1:2" x14ac:dyDescent="0.3">
      <c r="A874" s="3">
        <v>44498</v>
      </c>
      <c r="B874" s="4">
        <v>489.15</v>
      </c>
    </row>
    <row r="875" spans="1:2" x14ac:dyDescent="0.3">
      <c r="A875" s="11">
        <v>44501</v>
      </c>
      <c r="B875" s="12">
        <v>495.13</v>
      </c>
    </row>
    <row r="876" spans="1:2" x14ac:dyDescent="0.3">
      <c r="A876" s="3">
        <v>44502</v>
      </c>
      <c r="B876" s="4">
        <v>498.46</v>
      </c>
    </row>
    <row r="877" spans="1:2" x14ac:dyDescent="0.3">
      <c r="A877" s="11">
        <v>44503</v>
      </c>
      <c r="B877" s="12">
        <v>497.71</v>
      </c>
    </row>
    <row r="878" spans="1:2" x14ac:dyDescent="0.3">
      <c r="A878" s="3">
        <v>44508</v>
      </c>
      <c r="B878" s="4">
        <v>506</v>
      </c>
    </row>
    <row r="879" spans="1:2" x14ac:dyDescent="0.3">
      <c r="A879" s="11">
        <v>44509</v>
      </c>
      <c r="B879" s="12">
        <v>507.47</v>
      </c>
    </row>
    <row r="880" spans="1:2" x14ac:dyDescent="0.3">
      <c r="A880" s="3">
        <v>44510</v>
      </c>
      <c r="B880" s="4">
        <v>506.71</v>
      </c>
    </row>
    <row r="881" spans="1:2" x14ac:dyDescent="0.3">
      <c r="A881" s="11">
        <v>44511</v>
      </c>
      <c r="B881" s="12">
        <v>502.33</v>
      </c>
    </row>
    <row r="882" spans="1:2" x14ac:dyDescent="0.3">
      <c r="A882" s="3">
        <v>44512</v>
      </c>
      <c r="B882" s="4">
        <v>506.17</v>
      </c>
    </row>
    <row r="883" spans="1:2" x14ac:dyDescent="0.3">
      <c r="A883" s="11">
        <v>44515</v>
      </c>
      <c r="B883" s="12">
        <v>503.96</v>
      </c>
    </row>
    <row r="884" spans="1:2" x14ac:dyDescent="0.3">
      <c r="A884" s="3">
        <v>44516</v>
      </c>
      <c r="B884" s="4">
        <v>501.82</v>
      </c>
    </row>
    <row r="885" spans="1:2" x14ac:dyDescent="0.3">
      <c r="A885" s="11">
        <v>44517</v>
      </c>
      <c r="B885" s="12">
        <v>500.67</v>
      </c>
    </row>
    <row r="886" spans="1:2" x14ac:dyDescent="0.3">
      <c r="A886" s="3">
        <v>44518</v>
      </c>
      <c r="B886" s="4">
        <v>494.81</v>
      </c>
    </row>
    <row r="887" spans="1:2" x14ac:dyDescent="0.3">
      <c r="A887" s="11">
        <v>44522</v>
      </c>
      <c r="B887" s="12">
        <v>482.55</v>
      </c>
    </row>
    <row r="888" spans="1:2" x14ac:dyDescent="0.3">
      <c r="A888" s="3">
        <v>44523</v>
      </c>
      <c r="B888" s="4">
        <v>486.9</v>
      </c>
    </row>
    <row r="889" spans="1:2" x14ac:dyDescent="0.3">
      <c r="A889" s="11">
        <v>44524</v>
      </c>
      <c r="B889" s="12">
        <v>486.88</v>
      </c>
    </row>
    <row r="890" spans="1:2" x14ac:dyDescent="0.3">
      <c r="A890" s="3">
        <v>44525</v>
      </c>
      <c r="B890" s="4">
        <v>488</v>
      </c>
    </row>
    <row r="891" spans="1:2" x14ac:dyDescent="0.3">
      <c r="A891" s="11">
        <v>44526</v>
      </c>
      <c r="B891" s="12">
        <v>472.66</v>
      </c>
    </row>
    <row r="892" spans="1:2" x14ac:dyDescent="0.3">
      <c r="A892" s="3">
        <v>44529</v>
      </c>
      <c r="B892" s="4">
        <v>469.96</v>
      </c>
    </row>
    <row r="893" spans="1:2" x14ac:dyDescent="0.3">
      <c r="A893" s="11">
        <v>44530</v>
      </c>
      <c r="B893" s="12">
        <v>472.19</v>
      </c>
    </row>
    <row r="894" spans="1:2" x14ac:dyDescent="0.3">
      <c r="A894" s="3">
        <v>44531</v>
      </c>
      <c r="B894" s="4">
        <v>473.87</v>
      </c>
    </row>
    <row r="895" spans="1:2" x14ac:dyDescent="0.3">
      <c r="A895" s="11">
        <v>44532</v>
      </c>
      <c r="B895" s="12">
        <v>477.15</v>
      </c>
    </row>
    <row r="896" spans="1:2" x14ac:dyDescent="0.3">
      <c r="A896" s="3">
        <v>44533</v>
      </c>
      <c r="B896" s="4">
        <v>475.31</v>
      </c>
    </row>
    <row r="897" spans="1:2" x14ac:dyDescent="0.3">
      <c r="A897" s="11">
        <v>44536</v>
      </c>
      <c r="B897" s="12">
        <v>467.73</v>
      </c>
    </row>
    <row r="898" spans="1:2" x14ac:dyDescent="0.3">
      <c r="A898" s="3">
        <v>44537</v>
      </c>
      <c r="B898" s="4">
        <v>474.33</v>
      </c>
    </row>
    <row r="899" spans="1:2" x14ac:dyDescent="0.3">
      <c r="A899" s="11">
        <v>44538</v>
      </c>
      <c r="B899" s="12">
        <v>483.02</v>
      </c>
    </row>
    <row r="900" spans="1:2" x14ac:dyDescent="0.3">
      <c r="A900" s="3">
        <v>44539</v>
      </c>
      <c r="B900" s="4">
        <v>483.6</v>
      </c>
    </row>
    <row r="901" spans="1:2" x14ac:dyDescent="0.3">
      <c r="A901" s="11">
        <v>44540</v>
      </c>
      <c r="B901" s="12">
        <v>485.57</v>
      </c>
    </row>
    <row r="902" spans="1:2" x14ac:dyDescent="0.3">
      <c r="A902" s="3">
        <v>44543</v>
      </c>
      <c r="B902" s="4">
        <v>486.19</v>
      </c>
    </row>
    <row r="903" spans="1:2" x14ac:dyDescent="0.3">
      <c r="A903" s="11">
        <v>44544</v>
      </c>
      <c r="B903" s="12">
        <v>484.95</v>
      </c>
    </row>
    <row r="904" spans="1:2" x14ac:dyDescent="0.3">
      <c r="A904" s="3">
        <v>44545</v>
      </c>
      <c r="B904" s="4">
        <v>482.44</v>
      </c>
    </row>
    <row r="905" spans="1:2" x14ac:dyDescent="0.3">
      <c r="A905" s="11">
        <v>44546</v>
      </c>
      <c r="B905" s="12">
        <v>480.66</v>
      </c>
    </row>
    <row r="906" spans="1:2" x14ac:dyDescent="0.3">
      <c r="A906" s="3">
        <v>44547</v>
      </c>
      <c r="B906" s="4">
        <v>473.71</v>
      </c>
    </row>
    <row r="907" spans="1:2" x14ac:dyDescent="0.3">
      <c r="A907" s="11">
        <v>44550</v>
      </c>
      <c r="B907" s="12">
        <v>461.69</v>
      </c>
    </row>
    <row r="908" spans="1:2" x14ac:dyDescent="0.3">
      <c r="A908" s="3">
        <v>44551</v>
      </c>
      <c r="B908" s="4">
        <v>466.63</v>
      </c>
    </row>
    <row r="909" spans="1:2" x14ac:dyDescent="0.3">
      <c r="A909" s="11">
        <v>44552</v>
      </c>
      <c r="B909" s="12">
        <v>473.21</v>
      </c>
    </row>
    <row r="910" spans="1:2" x14ac:dyDescent="0.3">
      <c r="A910" s="3">
        <v>44553</v>
      </c>
      <c r="B910" s="4">
        <v>477.02</v>
      </c>
    </row>
    <row r="911" spans="1:2" x14ac:dyDescent="0.3">
      <c r="A911" s="11">
        <v>44554</v>
      </c>
      <c r="B911" s="12">
        <v>473.93</v>
      </c>
    </row>
    <row r="912" spans="1:2" x14ac:dyDescent="0.3">
      <c r="A912" s="3">
        <v>44557</v>
      </c>
      <c r="B912" s="4">
        <v>474.98</v>
      </c>
    </row>
    <row r="913" spans="1:2" x14ac:dyDescent="0.3">
      <c r="A913" s="11">
        <v>44558</v>
      </c>
      <c r="B913" s="12">
        <v>479.19</v>
      </c>
    </row>
    <row r="914" spans="1:2" x14ac:dyDescent="0.3">
      <c r="A914" s="3">
        <v>44559</v>
      </c>
      <c r="B914" s="4">
        <v>478.26</v>
      </c>
    </row>
    <row r="915" spans="1:2" x14ac:dyDescent="0.3">
      <c r="A915" s="11">
        <v>44560</v>
      </c>
      <c r="B915" s="12">
        <v>478.72</v>
      </c>
    </row>
    <row r="916" spans="1:2" x14ac:dyDescent="0.3">
      <c r="A916" s="3">
        <v>44561</v>
      </c>
      <c r="B916" s="4">
        <v>482.92</v>
      </c>
    </row>
    <row r="917" spans="1:2" x14ac:dyDescent="0.3">
      <c r="A917" s="11">
        <v>44564</v>
      </c>
      <c r="B917" s="12">
        <v>489.66</v>
      </c>
    </row>
    <row r="918" spans="1:2" x14ac:dyDescent="0.3">
      <c r="A918" s="3">
        <v>44565</v>
      </c>
      <c r="B918" s="4">
        <v>491.53</v>
      </c>
    </row>
    <row r="919" spans="1:2" x14ac:dyDescent="0.3">
      <c r="A919" s="11">
        <v>44566</v>
      </c>
      <c r="B919" s="12">
        <v>492.93</v>
      </c>
    </row>
    <row r="920" spans="1:2" x14ac:dyDescent="0.3">
      <c r="A920" s="3">
        <v>44567</v>
      </c>
      <c r="B920" s="4">
        <v>491.84</v>
      </c>
    </row>
    <row r="921" spans="1:2" x14ac:dyDescent="0.3">
      <c r="A921" s="11">
        <v>44568</v>
      </c>
      <c r="B921" s="12">
        <v>494.73</v>
      </c>
    </row>
    <row r="922" spans="1:2" x14ac:dyDescent="0.3">
      <c r="A922" s="3">
        <v>44571</v>
      </c>
      <c r="B922" s="4">
        <v>499.5</v>
      </c>
    </row>
    <row r="923" spans="1:2" x14ac:dyDescent="0.3">
      <c r="A923" s="11">
        <v>44572</v>
      </c>
      <c r="B923" s="12">
        <v>500.36</v>
      </c>
    </row>
    <row r="924" spans="1:2" x14ac:dyDescent="0.3">
      <c r="A924" s="3">
        <v>44573</v>
      </c>
      <c r="B924" s="4">
        <v>503.4</v>
      </c>
    </row>
    <row r="925" spans="1:2" x14ac:dyDescent="0.3">
      <c r="A925" s="11">
        <v>44574</v>
      </c>
      <c r="B925" s="12">
        <v>504.12</v>
      </c>
    </row>
    <row r="926" spans="1:2" x14ac:dyDescent="0.3">
      <c r="A926" s="3">
        <v>44575</v>
      </c>
      <c r="B926" s="4">
        <v>504.87</v>
      </c>
    </row>
    <row r="927" spans="1:2" x14ac:dyDescent="0.3">
      <c r="A927" s="11">
        <v>44578</v>
      </c>
      <c r="B927" s="12">
        <v>505.6</v>
      </c>
    </row>
    <row r="928" spans="1:2" x14ac:dyDescent="0.3">
      <c r="A928" s="3">
        <v>44579</v>
      </c>
      <c r="B928" s="4">
        <v>499.25</v>
      </c>
    </row>
    <row r="929" spans="1:2" x14ac:dyDescent="0.3">
      <c r="A929" s="11">
        <v>44580</v>
      </c>
      <c r="B929" s="12">
        <v>498.05</v>
      </c>
    </row>
    <row r="930" spans="1:2" x14ac:dyDescent="0.3">
      <c r="A930" s="3">
        <v>44581</v>
      </c>
      <c r="B930" s="4">
        <v>495.46</v>
      </c>
    </row>
    <row r="931" spans="1:2" x14ac:dyDescent="0.3">
      <c r="A931" s="11">
        <v>44582</v>
      </c>
      <c r="B931" s="12">
        <v>487.62</v>
      </c>
    </row>
    <row r="932" spans="1:2" x14ac:dyDescent="0.3">
      <c r="A932" s="3">
        <v>44585</v>
      </c>
      <c r="B932" s="4">
        <v>474.99</v>
      </c>
    </row>
    <row r="933" spans="1:2" x14ac:dyDescent="0.3">
      <c r="A933" s="11">
        <v>44586</v>
      </c>
      <c r="B933" s="12">
        <v>478.96</v>
      </c>
    </row>
    <row r="934" spans="1:2" x14ac:dyDescent="0.3">
      <c r="A934" s="3">
        <v>44588</v>
      </c>
      <c r="B934" s="4">
        <v>475.51</v>
      </c>
    </row>
    <row r="935" spans="1:2" x14ac:dyDescent="0.3">
      <c r="A935" s="11">
        <v>44589</v>
      </c>
      <c r="B935" s="12">
        <v>476.24</v>
      </c>
    </row>
    <row r="936" spans="1:2" x14ac:dyDescent="0.3">
      <c r="A936" s="3">
        <v>44592</v>
      </c>
      <c r="B936" s="4">
        <v>483.83</v>
      </c>
    </row>
    <row r="937" spans="1:2" x14ac:dyDescent="0.3">
      <c r="A937" s="11">
        <v>44593</v>
      </c>
      <c r="B937" s="12">
        <v>489.84</v>
      </c>
    </row>
    <row r="938" spans="1:2" x14ac:dyDescent="0.3">
      <c r="A938" s="3">
        <v>44594</v>
      </c>
      <c r="B938" s="4">
        <v>494.14</v>
      </c>
    </row>
    <row r="939" spans="1:2" x14ac:dyDescent="0.3">
      <c r="A939" s="11">
        <v>44595</v>
      </c>
      <c r="B939" s="12">
        <v>489.88</v>
      </c>
    </row>
    <row r="940" spans="1:2" x14ac:dyDescent="0.3">
      <c r="A940" s="3">
        <v>44596</v>
      </c>
      <c r="B940" s="4">
        <v>487.86</v>
      </c>
    </row>
    <row r="941" spans="1:2" x14ac:dyDescent="0.3">
      <c r="A941" s="11">
        <v>44599</v>
      </c>
      <c r="B941" s="12">
        <v>482.67</v>
      </c>
    </row>
    <row r="942" spans="1:2" x14ac:dyDescent="0.3">
      <c r="A942" s="3">
        <v>44600</v>
      </c>
      <c r="B942" s="4">
        <v>480.98</v>
      </c>
    </row>
    <row r="943" spans="1:2" x14ac:dyDescent="0.3">
      <c r="A943" s="11">
        <v>44601</v>
      </c>
      <c r="B943" s="12">
        <v>485.24</v>
      </c>
    </row>
    <row r="944" spans="1:2" x14ac:dyDescent="0.3">
      <c r="A944" s="3">
        <v>44602</v>
      </c>
      <c r="B944" s="4">
        <v>489.53</v>
      </c>
    </row>
    <row r="945" spans="1:2" x14ac:dyDescent="0.3">
      <c r="A945" s="11">
        <v>44603</v>
      </c>
      <c r="B945" s="12">
        <v>480.91</v>
      </c>
    </row>
    <row r="946" spans="1:2" x14ac:dyDescent="0.3">
      <c r="A946" s="3">
        <v>44606</v>
      </c>
      <c r="B946" s="4">
        <v>465.58</v>
      </c>
    </row>
    <row r="947" spans="1:2" x14ac:dyDescent="0.3">
      <c r="A947" s="11">
        <v>44607</v>
      </c>
      <c r="B947" s="12">
        <v>476.62</v>
      </c>
    </row>
    <row r="948" spans="1:2" x14ac:dyDescent="0.3">
      <c r="A948" s="3">
        <v>44608</v>
      </c>
      <c r="B948" s="4">
        <v>475.44</v>
      </c>
    </row>
    <row r="949" spans="1:2" x14ac:dyDescent="0.3">
      <c r="A949" s="11">
        <v>44609</v>
      </c>
      <c r="B949" s="12">
        <v>473.08</v>
      </c>
    </row>
    <row r="950" spans="1:2" x14ac:dyDescent="0.3">
      <c r="A950" s="3">
        <v>44610</v>
      </c>
      <c r="B950" s="4">
        <v>470.96</v>
      </c>
    </row>
    <row r="951" spans="1:2" x14ac:dyDescent="0.3">
      <c r="A951" s="11">
        <v>44613</v>
      </c>
      <c r="B951" s="12">
        <v>467.88</v>
      </c>
    </row>
    <row r="952" spans="1:2" x14ac:dyDescent="0.3">
      <c r="A952" s="3">
        <v>44614</v>
      </c>
      <c r="B952" s="4">
        <v>463.44</v>
      </c>
    </row>
    <row r="953" spans="1:2" x14ac:dyDescent="0.3">
      <c r="A953" s="11">
        <v>44615</v>
      </c>
      <c r="B953" s="12">
        <v>463.29</v>
      </c>
    </row>
    <row r="954" spans="1:2" x14ac:dyDescent="0.3">
      <c r="A954" s="3">
        <v>44616</v>
      </c>
      <c r="B954" s="4">
        <v>442.73</v>
      </c>
    </row>
    <row r="955" spans="1:2" x14ac:dyDescent="0.3">
      <c r="A955" s="11">
        <v>44617</v>
      </c>
      <c r="B955" s="12">
        <v>456.37</v>
      </c>
    </row>
    <row r="956" spans="1:2" x14ac:dyDescent="0.3">
      <c r="A956" s="3">
        <v>44620</v>
      </c>
      <c r="B956" s="4">
        <v>459.8</v>
      </c>
    </row>
    <row r="957" spans="1:2" x14ac:dyDescent="0.3">
      <c r="A957" s="11">
        <v>44622</v>
      </c>
      <c r="B957" s="12">
        <v>455.57</v>
      </c>
    </row>
    <row r="958" spans="1:2" x14ac:dyDescent="0.3">
      <c r="A958" s="3">
        <v>44623</v>
      </c>
      <c r="B958" s="4">
        <v>452.67</v>
      </c>
    </row>
    <row r="959" spans="1:2" x14ac:dyDescent="0.3">
      <c r="A959" s="11">
        <v>44624</v>
      </c>
      <c r="B959" s="12">
        <v>445.12</v>
      </c>
    </row>
    <row r="960" spans="1:2" x14ac:dyDescent="0.3">
      <c r="A960" s="3">
        <v>44627</v>
      </c>
      <c r="B960" s="4">
        <v>435.14</v>
      </c>
    </row>
    <row r="961" spans="1:2" x14ac:dyDescent="0.3">
      <c r="A961" s="11">
        <v>44628</v>
      </c>
      <c r="B961" s="12">
        <v>439.95</v>
      </c>
    </row>
    <row r="962" spans="1:2" x14ac:dyDescent="0.3">
      <c r="A962" s="3">
        <v>44629</v>
      </c>
      <c r="B962" s="4">
        <v>446.01</v>
      </c>
    </row>
    <row r="963" spans="1:2" x14ac:dyDescent="0.3">
      <c r="A963" s="11">
        <v>44630</v>
      </c>
      <c r="B963" s="12">
        <v>451.7</v>
      </c>
    </row>
    <row r="964" spans="1:2" x14ac:dyDescent="0.3">
      <c r="A964" s="3">
        <v>44631</v>
      </c>
      <c r="B964" s="4">
        <v>453.98</v>
      </c>
    </row>
    <row r="965" spans="1:2" x14ac:dyDescent="0.3">
      <c r="A965" s="11">
        <v>44634</v>
      </c>
      <c r="B965" s="12">
        <v>457.31</v>
      </c>
    </row>
    <row r="966" spans="1:2" x14ac:dyDescent="0.3">
      <c r="A966" s="3">
        <v>44635</v>
      </c>
      <c r="B966" s="4">
        <v>454.37</v>
      </c>
    </row>
    <row r="967" spans="1:2" x14ac:dyDescent="0.3">
      <c r="A967" s="11">
        <v>44636</v>
      </c>
      <c r="B967" s="12">
        <v>462.51</v>
      </c>
    </row>
    <row r="968" spans="1:2" x14ac:dyDescent="0.3">
      <c r="A968" s="3">
        <v>44637</v>
      </c>
      <c r="B968" s="4">
        <v>468.56</v>
      </c>
    </row>
    <row r="969" spans="1:2" x14ac:dyDescent="0.3">
      <c r="A969" s="11">
        <v>44641</v>
      </c>
      <c r="B969" s="12">
        <v>464.81</v>
      </c>
    </row>
    <row r="970" spans="1:2" x14ac:dyDescent="0.3">
      <c r="A970" s="3">
        <v>44642</v>
      </c>
      <c r="B970" s="4">
        <v>467.51</v>
      </c>
    </row>
    <row r="971" spans="1:2" x14ac:dyDescent="0.3">
      <c r="A971" s="11">
        <v>44643</v>
      </c>
      <c r="B971" s="12">
        <v>468.03</v>
      </c>
    </row>
    <row r="972" spans="1:2" x14ac:dyDescent="0.3">
      <c r="A972" s="3">
        <v>44644</v>
      </c>
      <c r="B972" s="4">
        <v>467.64</v>
      </c>
    </row>
    <row r="973" spans="1:2" x14ac:dyDescent="0.3">
      <c r="A973" s="11">
        <v>44645</v>
      </c>
      <c r="B973" s="12">
        <v>466.14</v>
      </c>
    </row>
    <row r="974" spans="1:2" x14ac:dyDescent="0.3">
      <c r="A974" s="3">
        <v>44648</v>
      </c>
      <c r="B974" s="4">
        <v>467.61</v>
      </c>
    </row>
    <row r="975" spans="1:2" x14ac:dyDescent="0.3">
      <c r="A975" s="11">
        <v>44649</v>
      </c>
      <c r="B975" s="12">
        <v>472.16</v>
      </c>
    </row>
    <row r="976" spans="1:2" x14ac:dyDescent="0.3">
      <c r="A976" s="3">
        <v>44650</v>
      </c>
      <c r="B976" s="4">
        <v>475.76</v>
      </c>
    </row>
    <row r="977" spans="1:2" x14ac:dyDescent="0.3">
      <c r="A977" s="11">
        <v>44651</v>
      </c>
      <c r="B977" s="12">
        <v>478</v>
      </c>
    </row>
    <row r="978" spans="1:2" x14ac:dyDescent="0.3">
      <c r="A978" s="3">
        <v>44652</v>
      </c>
      <c r="B978" s="4">
        <v>482.16</v>
      </c>
    </row>
    <row r="979" spans="1:2" x14ac:dyDescent="0.3">
      <c r="A979" s="11">
        <v>44655</v>
      </c>
      <c r="B979" s="12">
        <v>489.16</v>
      </c>
    </row>
    <row r="980" spans="1:2" x14ac:dyDescent="0.3">
      <c r="A980" s="3">
        <v>44656</v>
      </c>
      <c r="B980" s="4">
        <v>490.91</v>
      </c>
    </row>
    <row r="981" spans="1:2" x14ac:dyDescent="0.3">
      <c r="A981" s="11">
        <v>44657</v>
      </c>
      <c r="B981" s="12">
        <v>490.8</v>
      </c>
    </row>
    <row r="982" spans="1:2" x14ac:dyDescent="0.3">
      <c r="A982" s="3">
        <v>44658</v>
      </c>
      <c r="B982" s="4">
        <v>489.04</v>
      </c>
    </row>
    <row r="983" spans="1:2" x14ac:dyDescent="0.3">
      <c r="A983" s="11">
        <v>44659</v>
      </c>
      <c r="B983" s="12">
        <v>493.36</v>
      </c>
    </row>
    <row r="984" spans="1:2" x14ac:dyDescent="0.3">
      <c r="A984" s="3">
        <v>44662</v>
      </c>
      <c r="B984" s="4">
        <v>492.09</v>
      </c>
    </row>
    <row r="985" spans="1:2" x14ac:dyDescent="0.3">
      <c r="A985" s="11">
        <v>44663</v>
      </c>
      <c r="B985" s="12">
        <v>486.82</v>
      </c>
    </row>
    <row r="986" spans="1:2" x14ac:dyDescent="0.3">
      <c r="A986" s="3">
        <v>44664</v>
      </c>
      <c r="B986" s="4">
        <v>486.85</v>
      </c>
    </row>
    <row r="987" spans="1:2" x14ac:dyDescent="0.3">
      <c r="A987" s="11">
        <v>44669</v>
      </c>
      <c r="B987" s="12">
        <v>478.59</v>
      </c>
    </row>
    <row r="988" spans="1:2" x14ac:dyDescent="0.3">
      <c r="A988" s="3">
        <v>44670</v>
      </c>
      <c r="B988" s="4">
        <v>472.83</v>
      </c>
    </row>
    <row r="989" spans="1:2" x14ac:dyDescent="0.3">
      <c r="A989" s="11">
        <v>44671</v>
      </c>
      <c r="B989" s="12">
        <v>474.78</v>
      </c>
    </row>
    <row r="990" spans="1:2" x14ac:dyDescent="0.3">
      <c r="A990" s="3">
        <v>44672</v>
      </c>
      <c r="B990" s="4">
        <v>479.56</v>
      </c>
    </row>
    <row r="991" spans="1:2" x14ac:dyDescent="0.3">
      <c r="A991" s="11">
        <v>44673</v>
      </c>
      <c r="B991" s="12">
        <v>477.12</v>
      </c>
    </row>
    <row r="992" spans="1:2" x14ac:dyDescent="0.3">
      <c r="A992" s="3">
        <v>44676</v>
      </c>
      <c r="B992" s="4">
        <v>470.9</v>
      </c>
    </row>
    <row r="993" spans="1:2" x14ac:dyDescent="0.3">
      <c r="A993" s="11">
        <v>44677</v>
      </c>
      <c r="B993" s="12">
        <v>477</v>
      </c>
    </row>
    <row r="994" spans="1:2" x14ac:dyDescent="0.3">
      <c r="A994" s="3">
        <v>44678</v>
      </c>
      <c r="B994" s="4">
        <v>473.66</v>
      </c>
    </row>
    <row r="995" spans="1:2" x14ac:dyDescent="0.3">
      <c r="A995" s="11">
        <v>44679</v>
      </c>
      <c r="B995" s="12">
        <v>479.54</v>
      </c>
    </row>
    <row r="996" spans="1:2" x14ac:dyDescent="0.3">
      <c r="A996" s="3">
        <v>44680</v>
      </c>
      <c r="B996" s="4">
        <v>475.63</v>
      </c>
    </row>
    <row r="997" spans="1:2" x14ac:dyDescent="0.3">
      <c r="A997" s="11">
        <v>44683</v>
      </c>
      <c r="B997" s="12">
        <v>471.87</v>
      </c>
    </row>
    <row r="998" spans="1:2" x14ac:dyDescent="0.3">
      <c r="A998" s="3">
        <v>44685</v>
      </c>
      <c r="B998" s="4">
        <v>461.82</v>
      </c>
    </row>
    <row r="999" spans="1:2" x14ac:dyDescent="0.3">
      <c r="A999" s="11">
        <v>44686</v>
      </c>
      <c r="B999" s="12">
        <v>462.32</v>
      </c>
    </row>
    <row r="1000" spans="1:2" x14ac:dyDescent="0.3">
      <c r="A1000" s="3">
        <v>44687</v>
      </c>
      <c r="B1000" s="4">
        <v>453.11</v>
      </c>
    </row>
    <row r="1001" spans="1:2" x14ac:dyDescent="0.3">
      <c r="A1001" s="11">
        <v>44690</v>
      </c>
      <c r="B1001" s="12">
        <v>448.81</v>
      </c>
    </row>
    <row r="1002" spans="1:2" x14ac:dyDescent="0.3">
      <c r="A1002" s="3">
        <v>44691</v>
      </c>
      <c r="B1002" s="4">
        <v>443.69</v>
      </c>
    </row>
    <row r="1003" spans="1:2" x14ac:dyDescent="0.3">
      <c r="A1003" s="11">
        <v>44692</v>
      </c>
      <c r="B1003" s="12">
        <v>439.75</v>
      </c>
    </row>
    <row r="1004" spans="1:2" x14ac:dyDescent="0.3">
      <c r="A1004" s="3">
        <v>44693</v>
      </c>
      <c r="B1004" s="4">
        <v>431.45</v>
      </c>
    </row>
    <row r="1005" spans="1:2" x14ac:dyDescent="0.3">
      <c r="A1005" s="11">
        <v>44694</v>
      </c>
      <c r="B1005" s="12">
        <v>431.46</v>
      </c>
    </row>
    <row r="1006" spans="1:2" x14ac:dyDescent="0.3">
      <c r="A1006" s="3">
        <v>44697</v>
      </c>
      <c r="B1006" s="4">
        <v>436.9</v>
      </c>
    </row>
    <row r="1007" spans="1:2" x14ac:dyDescent="0.3">
      <c r="A1007" s="11">
        <v>44698</v>
      </c>
      <c r="B1007" s="12">
        <v>447.12</v>
      </c>
    </row>
    <row r="1008" spans="1:2" x14ac:dyDescent="0.3">
      <c r="A1008" s="3">
        <v>44699</v>
      </c>
      <c r="B1008" s="4">
        <v>445.93</v>
      </c>
    </row>
    <row r="1009" spans="1:2" x14ac:dyDescent="0.3">
      <c r="A1009" s="11">
        <v>44700</v>
      </c>
      <c r="B1009" s="12">
        <v>435.77</v>
      </c>
    </row>
    <row r="1010" spans="1:2" x14ac:dyDescent="0.3">
      <c r="A1010" s="3">
        <v>44701</v>
      </c>
      <c r="B1010" s="4">
        <v>445.04</v>
      </c>
    </row>
    <row r="1011" spans="1:2" x14ac:dyDescent="0.3">
      <c r="A1011" s="11">
        <v>44704</v>
      </c>
      <c r="B1011" s="12">
        <v>444.05</v>
      </c>
    </row>
    <row r="1012" spans="1:2" x14ac:dyDescent="0.3">
      <c r="A1012" s="3">
        <v>44705</v>
      </c>
      <c r="B1012" s="4">
        <v>440.95</v>
      </c>
    </row>
    <row r="1013" spans="1:2" x14ac:dyDescent="0.3">
      <c r="A1013" s="11">
        <v>44706</v>
      </c>
      <c r="B1013" s="12">
        <v>435.93</v>
      </c>
    </row>
    <row r="1014" spans="1:2" x14ac:dyDescent="0.3">
      <c r="A1014" s="3">
        <v>44707</v>
      </c>
      <c r="B1014" s="4">
        <v>440.91</v>
      </c>
    </row>
    <row r="1015" spans="1:2" x14ac:dyDescent="0.3">
      <c r="A1015" s="11">
        <v>44708</v>
      </c>
      <c r="B1015" s="12">
        <v>444.71</v>
      </c>
    </row>
    <row r="1016" spans="1:2" x14ac:dyDescent="0.3">
      <c r="A1016" s="3">
        <v>44711</v>
      </c>
      <c r="B1016" s="4">
        <v>453.78</v>
      </c>
    </row>
    <row r="1017" spans="1:2" x14ac:dyDescent="0.3">
      <c r="A1017" s="11">
        <v>44712</v>
      </c>
      <c r="B1017" s="12">
        <v>454.51</v>
      </c>
    </row>
    <row r="1018" spans="1:2" x14ac:dyDescent="0.3">
      <c r="A1018" s="3">
        <v>44713</v>
      </c>
      <c r="B1018" s="4">
        <v>454.43</v>
      </c>
    </row>
    <row r="1019" spans="1:2" x14ac:dyDescent="0.3">
      <c r="A1019" s="11">
        <v>44714</v>
      </c>
      <c r="B1019" s="12">
        <v>456.88</v>
      </c>
    </row>
    <row r="1020" spans="1:2" x14ac:dyDescent="0.3">
      <c r="A1020" s="3">
        <v>44715</v>
      </c>
      <c r="B1020" s="4">
        <v>452.79</v>
      </c>
    </row>
    <row r="1021" spans="1:2" x14ac:dyDescent="0.3">
      <c r="A1021" s="11">
        <v>44718</v>
      </c>
      <c r="B1021" s="12">
        <v>450.42</v>
      </c>
    </row>
    <row r="1022" spans="1:2" x14ac:dyDescent="0.3">
      <c r="A1022" s="3">
        <v>44719</v>
      </c>
      <c r="B1022" s="4">
        <v>447.62</v>
      </c>
    </row>
    <row r="1023" spans="1:2" x14ac:dyDescent="0.3">
      <c r="A1023" s="11">
        <v>44720</v>
      </c>
      <c r="B1023" s="12">
        <v>447.5</v>
      </c>
    </row>
    <row r="1024" spans="1:2" x14ac:dyDescent="0.3">
      <c r="A1024" s="3">
        <v>44721</v>
      </c>
      <c r="B1024" s="4">
        <v>449.74</v>
      </c>
    </row>
    <row r="1025" spans="1:2" x14ac:dyDescent="0.3">
      <c r="A1025" s="11">
        <v>44722</v>
      </c>
      <c r="B1025" s="12">
        <v>445.33</v>
      </c>
    </row>
    <row r="1026" spans="1:2" x14ac:dyDescent="0.3">
      <c r="A1026" s="3">
        <v>44725</v>
      </c>
      <c r="B1026" s="4">
        <v>434.89</v>
      </c>
    </row>
    <row r="1027" spans="1:2" x14ac:dyDescent="0.3">
      <c r="A1027" s="11">
        <v>44726</v>
      </c>
      <c r="B1027" s="12">
        <v>434.54</v>
      </c>
    </row>
    <row r="1028" spans="1:2" x14ac:dyDescent="0.3">
      <c r="A1028" s="3">
        <v>44727</v>
      </c>
      <c r="B1028" s="4">
        <v>434.44</v>
      </c>
    </row>
    <row r="1029" spans="1:2" x14ac:dyDescent="0.3">
      <c r="A1029" s="11">
        <v>44728</v>
      </c>
      <c r="B1029" s="12">
        <v>426.04</v>
      </c>
    </row>
    <row r="1030" spans="1:2" x14ac:dyDescent="0.3">
      <c r="A1030" s="3">
        <v>44729</v>
      </c>
      <c r="B1030" s="4">
        <v>423.39</v>
      </c>
    </row>
    <row r="1031" spans="1:2" x14ac:dyDescent="0.3">
      <c r="A1031" s="11">
        <v>44732</v>
      </c>
      <c r="B1031" s="12">
        <v>420.99</v>
      </c>
    </row>
    <row r="1032" spans="1:2" x14ac:dyDescent="0.3">
      <c r="A1032" s="3">
        <v>44733</v>
      </c>
      <c r="B1032" s="4">
        <v>429.48</v>
      </c>
    </row>
    <row r="1033" spans="1:2" x14ac:dyDescent="0.3">
      <c r="A1033" s="11">
        <v>44734</v>
      </c>
      <c r="B1033" s="12">
        <v>425.61</v>
      </c>
    </row>
    <row r="1034" spans="1:2" x14ac:dyDescent="0.3">
      <c r="A1034" s="3">
        <v>44735</v>
      </c>
      <c r="B1034" s="4">
        <v>430</v>
      </c>
    </row>
    <row r="1035" spans="1:2" x14ac:dyDescent="0.3">
      <c r="A1035" s="11">
        <v>44736</v>
      </c>
      <c r="B1035" s="12">
        <v>434.95</v>
      </c>
    </row>
    <row r="1036" spans="1:2" x14ac:dyDescent="0.3">
      <c r="A1036" s="3">
        <v>44739</v>
      </c>
      <c r="B1036" s="4">
        <v>440.23</v>
      </c>
    </row>
    <row r="1037" spans="1:2" x14ac:dyDescent="0.3">
      <c r="A1037" s="11">
        <v>44740</v>
      </c>
      <c r="B1037" s="12">
        <v>441.48</v>
      </c>
    </row>
    <row r="1038" spans="1:2" x14ac:dyDescent="0.3">
      <c r="A1038" s="3">
        <v>44741</v>
      </c>
      <c r="B1038" s="4">
        <v>440.56</v>
      </c>
    </row>
    <row r="1039" spans="1:2" x14ac:dyDescent="0.3">
      <c r="A1039" s="11">
        <v>44742</v>
      </c>
      <c r="B1039" s="12">
        <v>439.71</v>
      </c>
    </row>
    <row r="1040" spans="1:2" x14ac:dyDescent="0.3">
      <c r="A1040" s="3">
        <v>44743</v>
      </c>
      <c r="B1040" s="4">
        <v>441.02</v>
      </c>
    </row>
    <row r="1041" spans="1:2" x14ac:dyDescent="0.3">
      <c r="A1041" s="11">
        <v>44746</v>
      </c>
      <c r="B1041" s="12">
        <v>444.92</v>
      </c>
    </row>
    <row r="1042" spans="1:2" x14ac:dyDescent="0.3">
      <c r="A1042" s="3">
        <v>44747</v>
      </c>
      <c r="B1042" s="4">
        <v>445.63</v>
      </c>
    </row>
    <row r="1043" spans="1:2" x14ac:dyDescent="0.3">
      <c r="A1043" s="11">
        <v>44748</v>
      </c>
      <c r="B1043" s="12">
        <v>449.85</v>
      </c>
    </row>
    <row r="1044" spans="1:2" x14ac:dyDescent="0.3">
      <c r="A1044" s="3">
        <v>44749</v>
      </c>
      <c r="B1044" s="4">
        <v>454.91</v>
      </c>
    </row>
    <row r="1045" spans="1:2" x14ac:dyDescent="0.3">
      <c r="A1045" s="11">
        <v>44750</v>
      </c>
      <c r="B1045" s="12">
        <v>457.82</v>
      </c>
    </row>
    <row r="1046" spans="1:2" x14ac:dyDescent="0.3">
      <c r="A1046" s="3">
        <v>44753</v>
      </c>
      <c r="B1046" s="4">
        <v>460.12</v>
      </c>
    </row>
    <row r="1047" spans="1:2" x14ac:dyDescent="0.3">
      <c r="A1047" s="11">
        <v>44754</v>
      </c>
      <c r="B1047" s="12">
        <v>456.57</v>
      </c>
    </row>
    <row r="1048" spans="1:2" x14ac:dyDescent="0.3">
      <c r="A1048" s="3">
        <v>44755</v>
      </c>
      <c r="B1048" s="4">
        <v>456.14</v>
      </c>
    </row>
    <row r="1049" spans="1:2" x14ac:dyDescent="0.3">
      <c r="A1049" s="11">
        <v>44756</v>
      </c>
      <c r="B1049" s="12">
        <v>454.56</v>
      </c>
    </row>
    <row r="1050" spans="1:2" x14ac:dyDescent="0.3">
      <c r="A1050" s="3">
        <v>44757</v>
      </c>
      <c r="B1050" s="4">
        <v>456.91</v>
      </c>
    </row>
    <row r="1051" spans="1:2" x14ac:dyDescent="0.3">
      <c r="A1051" s="11">
        <v>44760</v>
      </c>
      <c r="B1051" s="12">
        <v>464.1</v>
      </c>
    </row>
    <row r="1052" spans="1:2" x14ac:dyDescent="0.3">
      <c r="A1052" s="3">
        <v>44761</v>
      </c>
      <c r="B1052" s="4">
        <v>466.34</v>
      </c>
    </row>
    <row r="1053" spans="1:2" x14ac:dyDescent="0.3">
      <c r="A1053" s="11">
        <v>44762</v>
      </c>
      <c r="B1053" s="12">
        <v>468.23</v>
      </c>
    </row>
    <row r="1054" spans="1:2" x14ac:dyDescent="0.3">
      <c r="A1054" s="3">
        <v>44763</v>
      </c>
      <c r="B1054" s="4">
        <v>472.11</v>
      </c>
    </row>
    <row r="1055" spans="1:2" x14ac:dyDescent="0.3">
      <c r="A1055" s="11">
        <v>44764</v>
      </c>
      <c r="B1055" s="12">
        <v>473.35</v>
      </c>
    </row>
    <row r="1056" spans="1:2" x14ac:dyDescent="0.3">
      <c r="A1056" s="3">
        <v>44767</v>
      </c>
      <c r="B1056" s="4">
        <v>472.47</v>
      </c>
    </row>
    <row r="1057" spans="1:2" x14ac:dyDescent="0.3">
      <c r="A1057" s="11">
        <v>44768</v>
      </c>
      <c r="B1057" s="12">
        <v>468.36</v>
      </c>
    </row>
    <row r="1058" spans="1:2" x14ac:dyDescent="0.3">
      <c r="A1058" s="3">
        <v>44769</v>
      </c>
      <c r="B1058" s="4">
        <v>470.15</v>
      </c>
    </row>
    <row r="1059" spans="1:2" x14ac:dyDescent="0.3">
      <c r="A1059" s="11">
        <v>44770</v>
      </c>
      <c r="B1059" s="12">
        <v>474.63</v>
      </c>
    </row>
    <row r="1060" spans="1:2" x14ac:dyDescent="0.3">
      <c r="A1060" s="3">
        <v>44771</v>
      </c>
      <c r="B1060" s="4">
        <v>480.8</v>
      </c>
    </row>
    <row r="1061" spans="1:2" x14ac:dyDescent="0.3">
      <c r="A1061" s="11">
        <v>44774</v>
      </c>
      <c r="B1061" s="12">
        <v>485.43</v>
      </c>
    </row>
    <row r="1062" spans="1:2" x14ac:dyDescent="0.3">
      <c r="A1062" s="3">
        <v>44775</v>
      </c>
      <c r="B1062" s="4">
        <v>485.81</v>
      </c>
    </row>
    <row r="1063" spans="1:2" x14ac:dyDescent="0.3">
      <c r="A1063" s="11">
        <v>44776</v>
      </c>
      <c r="B1063" s="12">
        <v>484.77</v>
      </c>
    </row>
    <row r="1064" spans="1:2" x14ac:dyDescent="0.3">
      <c r="A1064" s="3">
        <v>44777</v>
      </c>
      <c r="B1064" s="4">
        <v>484.8</v>
      </c>
    </row>
    <row r="1065" spans="1:2" x14ac:dyDescent="0.3">
      <c r="A1065" s="11">
        <v>44778</v>
      </c>
      <c r="B1065" s="12">
        <v>485.9</v>
      </c>
    </row>
    <row r="1066" spans="1:2" x14ac:dyDescent="0.3">
      <c r="A1066" s="3">
        <v>44781</v>
      </c>
      <c r="B1066" s="4">
        <v>488.2</v>
      </c>
    </row>
    <row r="1067" spans="1:2" x14ac:dyDescent="0.3">
      <c r="A1067" s="11">
        <v>44783</v>
      </c>
      <c r="B1067" s="12">
        <v>488.16</v>
      </c>
    </row>
    <row r="1068" spans="1:2" x14ac:dyDescent="0.3">
      <c r="A1068" s="3">
        <v>44784</v>
      </c>
      <c r="B1068" s="4">
        <v>491.37</v>
      </c>
    </row>
    <row r="1069" spans="1:2" x14ac:dyDescent="0.3">
      <c r="A1069" s="11">
        <v>44785</v>
      </c>
      <c r="B1069" s="12">
        <v>491.94</v>
      </c>
    </row>
    <row r="1070" spans="1:2" x14ac:dyDescent="0.3">
      <c r="A1070" s="3">
        <v>44789</v>
      </c>
      <c r="B1070" s="4">
        <v>494.82</v>
      </c>
    </row>
    <row r="1071" spans="1:2" x14ac:dyDescent="0.3">
      <c r="A1071" s="11">
        <v>44790</v>
      </c>
      <c r="B1071" s="12">
        <v>497.33</v>
      </c>
    </row>
    <row r="1072" spans="1:2" x14ac:dyDescent="0.3">
      <c r="A1072" s="3">
        <v>44791</v>
      </c>
      <c r="B1072" s="4">
        <v>498.08</v>
      </c>
    </row>
    <row r="1073" spans="1:2" x14ac:dyDescent="0.3">
      <c r="A1073" s="11">
        <v>44792</v>
      </c>
      <c r="B1073" s="12">
        <v>493.12</v>
      </c>
    </row>
    <row r="1074" spans="1:2" x14ac:dyDescent="0.3">
      <c r="A1074" s="3">
        <v>44795</v>
      </c>
      <c r="B1074" s="4">
        <v>486.22</v>
      </c>
    </row>
    <row r="1075" spans="1:2" x14ac:dyDescent="0.3">
      <c r="A1075" s="11">
        <v>44796</v>
      </c>
      <c r="B1075" s="12">
        <v>488.43</v>
      </c>
    </row>
    <row r="1076" spans="1:2" x14ac:dyDescent="0.3">
      <c r="A1076" s="3">
        <v>44797</v>
      </c>
      <c r="B1076" s="4">
        <v>490.51</v>
      </c>
    </row>
    <row r="1077" spans="1:2" x14ac:dyDescent="0.3">
      <c r="A1077" s="11">
        <v>44798</v>
      </c>
      <c r="B1077" s="12">
        <v>491.97</v>
      </c>
    </row>
    <row r="1078" spans="1:2" x14ac:dyDescent="0.3">
      <c r="A1078" s="3">
        <v>44799</v>
      </c>
      <c r="B1078" s="4">
        <v>493.77</v>
      </c>
    </row>
    <row r="1079" spans="1:2" x14ac:dyDescent="0.3">
      <c r="A1079" s="11">
        <v>44802</v>
      </c>
      <c r="B1079" s="12">
        <v>488.27</v>
      </c>
    </row>
    <row r="1080" spans="1:2" x14ac:dyDescent="0.3">
      <c r="A1080" s="3">
        <v>44803</v>
      </c>
      <c r="B1080" s="4">
        <v>497.33</v>
      </c>
    </row>
    <row r="1081" spans="1:2" x14ac:dyDescent="0.3">
      <c r="A1081" s="11">
        <v>44805</v>
      </c>
      <c r="B1081" s="12">
        <v>495.7</v>
      </c>
    </row>
    <row r="1082" spans="1:2" x14ac:dyDescent="0.3">
      <c r="A1082" s="3">
        <v>44806</v>
      </c>
      <c r="B1082" s="4">
        <v>495.51</v>
      </c>
    </row>
    <row r="1083" spans="1:2" x14ac:dyDescent="0.3">
      <c r="A1083" s="11">
        <v>44809</v>
      </c>
      <c r="B1083" s="12">
        <v>499.11</v>
      </c>
    </row>
    <row r="1084" spans="1:2" x14ac:dyDescent="0.3">
      <c r="A1084" s="3">
        <v>44810</v>
      </c>
      <c r="B1084" s="4">
        <v>499.64</v>
      </c>
    </row>
    <row r="1085" spans="1:2" x14ac:dyDescent="0.3">
      <c r="A1085" s="11">
        <v>44811</v>
      </c>
      <c r="B1085" s="12">
        <v>499.93</v>
      </c>
    </row>
    <row r="1086" spans="1:2" x14ac:dyDescent="0.3">
      <c r="A1086" s="3">
        <v>44812</v>
      </c>
      <c r="B1086" s="4">
        <v>504.67</v>
      </c>
    </row>
    <row r="1087" spans="1:2" x14ac:dyDescent="0.3">
      <c r="A1087" s="11">
        <v>44813</v>
      </c>
      <c r="B1087" s="12">
        <v>505.61</v>
      </c>
    </row>
    <row r="1088" spans="1:2" x14ac:dyDescent="0.3">
      <c r="A1088" s="3">
        <v>44816</v>
      </c>
      <c r="B1088" s="4">
        <v>509</v>
      </c>
    </row>
    <row r="1089" spans="1:2" x14ac:dyDescent="0.3">
      <c r="A1089" s="11">
        <v>44817</v>
      </c>
      <c r="B1089" s="12">
        <v>510.73</v>
      </c>
    </row>
    <row r="1090" spans="1:2" x14ac:dyDescent="0.3">
      <c r="A1090" s="3">
        <v>44818</v>
      </c>
      <c r="B1090" s="4">
        <v>510.47</v>
      </c>
    </row>
    <row r="1091" spans="1:2" x14ac:dyDescent="0.3">
      <c r="A1091" s="11">
        <v>44819</v>
      </c>
      <c r="B1091" s="12">
        <v>508.7</v>
      </c>
    </row>
    <row r="1092" spans="1:2" x14ac:dyDescent="0.3">
      <c r="A1092" s="3">
        <v>44820</v>
      </c>
      <c r="B1092" s="4">
        <v>498.11</v>
      </c>
    </row>
    <row r="1093" spans="1:2" x14ac:dyDescent="0.3">
      <c r="A1093" s="11">
        <v>44823</v>
      </c>
      <c r="B1093" s="12">
        <v>499.71</v>
      </c>
    </row>
    <row r="1094" spans="1:2" x14ac:dyDescent="0.3">
      <c r="A1094" s="3">
        <v>44824</v>
      </c>
      <c r="B1094" s="4">
        <v>505.93</v>
      </c>
    </row>
    <row r="1095" spans="1:2" x14ac:dyDescent="0.3">
      <c r="A1095" s="11">
        <v>44825</v>
      </c>
      <c r="B1095" s="12">
        <v>502.68</v>
      </c>
    </row>
    <row r="1096" spans="1:2" x14ac:dyDescent="0.3">
      <c r="A1096" s="3">
        <v>44826</v>
      </c>
      <c r="B1096" s="4">
        <v>501.91</v>
      </c>
    </row>
    <row r="1097" spans="1:2" x14ac:dyDescent="0.3">
      <c r="A1097" s="11">
        <v>44827</v>
      </c>
      <c r="B1097" s="12">
        <v>492.66</v>
      </c>
    </row>
    <row r="1098" spans="1:2" x14ac:dyDescent="0.3">
      <c r="A1098" s="3">
        <v>44830</v>
      </c>
      <c r="B1098" s="4">
        <v>484.01</v>
      </c>
    </row>
    <row r="1099" spans="1:2" x14ac:dyDescent="0.3">
      <c r="A1099" s="11">
        <v>44831</v>
      </c>
      <c r="B1099" s="12">
        <v>483.84</v>
      </c>
    </row>
    <row r="1100" spans="1:2" x14ac:dyDescent="0.3">
      <c r="A1100" s="3">
        <v>44832</v>
      </c>
      <c r="B1100" s="4">
        <v>482.34</v>
      </c>
    </row>
    <row r="1101" spans="1:2" x14ac:dyDescent="0.3">
      <c r="A1101" s="11">
        <v>44833</v>
      </c>
      <c r="B1101" s="12">
        <v>482.89</v>
      </c>
    </row>
    <row r="1102" spans="1:2" x14ac:dyDescent="0.3">
      <c r="A1102" s="3">
        <v>44834</v>
      </c>
      <c r="B1102" s="4">
        <v>491.28</v>
      </c>
    </row>
    <row r="1103" spans="1:2" x14ac:dyDescent="0.3">
      <c r="A1103" s="11">
        <v>44837</v>
      </c>
      <c r="B1103" s="12">
        <v>486.68</v>
      </c>
    </row>
    <row r="1104" spans="1:2" x14ac:dyDescent="0.3">
      <c r="A1104" s="3">
        <v>44838</v>
      </c>
      <c r="B1104" s="4">
        <v>494.72</v>
      </c>
    </row>
    <row r="1105" spans="1:2" x14ac:dyDescent="0.3">
      <c r="A1105" s="11">
        <v>44840</v>
      </c>
      <c r="B1105" s="12">
        <v>499.85</v>
      </c>
    </row>
    <row r="1106" spans="1:2" x14ac:dyDescent="0.3">
      <c r="A1106" s="3">
        <v>44841</v>
      </c>
      <c r="B1106" s="4">
        <v>499.35</v>
      </c>
    </row>
    <row r="1107" spans="1:2" x14ac:dyDescent="0.3">
      <c r="A1107" s="11">
        <v>44844</v>
      </c>
      <c r="B1107" s="12">
        <v>497.07</v>
      </c>
    </row>
    <row r="1108" spans="1:2" x14ac:dyDescent="0.3">
      <c r="A1108" s="3">
        <v>44845</v>
      </c>
      <c r="B1108" s="4">
        <v>490.34</v>
      </c>
    </row>
    <row r="1109" spans="1:2" x14ac:dyDescent="0.3">
      <c r="A1109" s="11">
        <v>44846</v>
      </c>
      <c r="B1109" s="12">
        <v>492.8</v>
      </c>
    </row>
    <row r="1110" spans="1:2" x14ac:dyDescent="0.3">
      <c r="A1110" s="3">
        <v>44847</v>
      </c>
      <c r="B1110" s="4">
        <v>490.01</v>
      </c>
    </row>
    <row r="1111" spans="1:2" x14ac:dyDescent="0.3">
      <c r="A1111" s="11">
        <v>44848</v>
      </c>
      <c r="B1111" s="12">
        <v>490.96</v>
      </c>
    </row>
    <row r="1112" spans="1:2" x14ac:dyDescent="0.3">
      <c r="A1112" s="3">
        <v>44851</v>
      </c>
      <c r="B1112" s="4">
        <v>492.8</v>
      </c>
    </row>
    <row r="1113" spans="1:2" x14ac:dyDescent="0.3">
      <c r="A1113" s="11">
        <v>44852</v>
      </c>
      <c r="B1113" s="12">
        <v>498.46</v>
      </c>
    </row>
    <row r="1114" spans="1:2" x14ac:dyDescent="0.3">
      <c r="A1114" s="3">
        <v>44853</v>
      </c>
      <c r="B1114" s="4">
        <v>498.68</v>
      </c>
    </row>
    <row r="1115" spans="1:2" x14ac:dyDescent="0.3">
      <c r="A1115" s="11">
        <v>44854</v>
      </c>
      <c r="B1115" s="12">
        <v>498.72</v>
      </c>
    </row>
    <row r="1116" spans="1:2" x14ac:dyDescent="0.3">
      <c r="A1116" s="3">
        <v>44855</v>
      </c>
      <c r="B1116" s="4">
        <v>497.79</v>
      </c>
    </row>
    <row r="1117" spans="1:2" x14ac:dyDescent="0.3">
      <c r="A1117" s="11">
        <v>44859</v>
      </c>
      <c r="B1117" s="12">
        <v>502.7</v>
      </c>
    </row>
    <row r="1118" spans="1:2" x14ac:dyDescent="0.3">
      <c r="A1118" s="3">
        <v>44861</v>
      </c>
      <c r="B1118" s="4">
        <v>505.74</v>
      </c>
    </row>
    <row r="1119" spans="1:2" x14ac:dyDescent="0.3">
      <c r="A1119" s="11">
        <v>44862</v>
      </c>
      <c r="B1119" s="12">
        <v>503.52</v>
      </c>
    </row>
    <row r="1120" spans="1:2" x14ac:dyDescent="0.3">
      <c r="A1120" s="3">
        <v>44865</v>
      </c>
      <c r="B1120" s="4">
        <v>508.03</v>
      </c>
    </row>
    <row r="1121" spans="1:2" x14ac:dyDescent="0.3">
      <c r="A1121" s="11">
        <v>44866</v>
      </c>
      <c r="B1121" s="12">
        <v>511.58</v>
      </c>
    </row>
    <row r="1122" spans="1:2" x14ac:dyDescent="0.3">
      <c r="A1122" s="3">
        <v>44867</v>
      </c>
      <c r="B1122" s="4">
        <v>510.53</v>
      </c>
    </row>
    <row r="1123" spans="1:2" x14ac:dyDescent="0.3">
      <c r="A1123" s="11">
        <v>44868</v>
      </c>
      <c r="B1123" s="12">
        <v>511.46</v>
      </c>
    </row>
    <row r="1124" spans="1:2" x14ac:dyDescent="0.3">
      <c r="A1124" s="3">
        <v>44869</v>
      </c>
      <c r="B1124" s="4">
        <v>511.24</v>
      </c>
    </row>
    <row r="1125" spans="1:2" x14ac:dyDescent="0.3">
      <c r="A1125" s="11">
        <v>44872</v>
      </c>
      <c r="B1125" s="12">
        <v>514.47</v>
      </c>
    </row>
    <row r="1126" spans="1:2" x14ac:dyDescent="0.3">
      <c r="A1126" s="3">
        <v>44874</v>
      </c>
      <c r="B1126" s="4">
        <v>513.20000000000005</v>
      </c>
    </row>
    <row r="1127" spans="1:2" x14ac:dyDescent="0.3">
      <c r="A1127" s="11">
        <v>44875</v>
      </c>
      <c r="B1127" s="12">
        <v>510.49</v>
      </c>
    </row>
    <row r="1128" spans="1:2" x14ac:dyDescent="0.3">
      <c r="A1128" s="3">
        <v>44876</v>
      </c>
      <c r="B1128" s="4">
        <v>513.55999999999995</v>
      </c>
    </row>
    <row r="1129" spans="1:2" x14ac:dyDescent="0.3">
      <c r="A1129" s="11">
        <v>44879</v>
      </c>
      <c r="B1129" s="12">
        <v>513.30999999999995</v>
      </c>
    </row>
    <row r="1130" spans="1:2" x14ac:dyDescent="0.3">
      <c r="A1130" s="3">
        <v>44880</v>
      </c>
      <c r="B1130" s="4">
        <v>514.98</v>
      </c>
    </row>
    <row r="1131" spans="1:2" x14ac:dyDescent="0.3">
      <c r="A1131" s="11">
        <v>44881</v>
      </c>
      <c r="B1131" s="12">
        <v>514.91999999999996</v>
      </c>
    </row>
    <row r="1132" spans="1:2" x14ac:dyDescent="0.3">
      <c r="A1132" s="3">
        <v>44882</v>
      </c>
      <c r="B1132" s="4">
        <v>513.9</v>
      </c>
    </row>
    <row r="1133" spans="1:2" x14ac:dyDescent="0.3">
      <c r="A1133" s="11">
        <v>44883</v>
      </c>
      <c r="B1133" s="12">
        <v>510.85</v>
      </c>
    </row>
    <row r="1134" spans="1:2" x14ac:dyDescent="0.3">
      <c r="A1134" s="3">
        <v>44886</v>
      </c>
      <c r="B1134" s="4">
        <v>507.99</v>
      </c>
    </row>
    <row r="1135" spans="1:2" x14ac:dyDescent="0.3">
      <c r="A1135" s="11">
        <v>44887</v>
      </c>
      <c r="B1135" s="12">
        <v>509.12</v>
      </c>
    </row>
    <row r="1136" spans="1:2" x14ac:dyDescent="0.3">
      <c r="A1136" s="3">
        <v>44888</v>
      </c>
      <c r="B1136" s="4">
        <v>511.05</v>
      </c>
    </row>
    <row r="1137" spans="1:2" x14ac:dyDescent="0.3">
      <c r="A1137" s="11">
        <v>44889</v>
      </c>
      <c r="B1137" s="12">
        <v>515.17999999999995</v>
      </c>
    </row>
    <row r="1138" spans="1:2" x14ac:dyDescent="0.3">
      <c r="A1138" s="3">
        <v>44890</v>
      </c>
      <c r="B1138" s="4">
        <v>516.83000000000004</v>
      </c>
    </row>
    <row r="1139" spans="1:2" x14ac:dyDescent="0.3">
      <c r="A1139" s="11">
        <v>44893</v>
      </c>
      <c r="B1139" s="12">
        <v>519.76</v>
      </c>
    </row>
    <row r="1140" spans="1:2" x14ac:dyDescent="0.3">
      <c r="A1140" s="3">
        <v>44894</v>
      </c>
      <c r="B1140" s="4">
        <v>519.98</v>
      </c>
    </row>
    <row r="1141" spans="1:2" x14ac:dyDescent="0.3">
      <c r="A1141" s="11">
        <v>44895</v>
      </c>
      <c r="B1141" s="12">
        <v>523.69000000000005</v>
      </c>
    </row>
    <row r="1142" spans="1:2" x14ac:dyDescent="0.3">
      <c r="A1142" s="3">
        <v>44896</v>
      </c>
      <c r="B1142" s="4">
        <v>526.48</v>
      </c>
    </row>
    <row r="1143" spans="1:2" x14ac:dyDescent="0.3">
      <c r="A1143" s="11">
        <v>44897</v>
      </c>
      <c r="B1143" s="12">
        <v>527.16999999999996</v>
      </c>
    </row>
    <row r="1144" spans="1:2" x14ac:dyDescent="0.3">
      <c r="A1144" s="3">
        <v>44900</v>
      </c>
      <c r="B1144" s="4">
        <v>528.35</v>
      </c>
    </row>
    <row r="1145" spans="1:2" x14ac:dyDescent="0.3">
      <c r="A1145" s="11">
        <v>44901</v>
      </c>
      <c r="B1145" s="12">
        <v>525.55999999999995</v>
      </c>
    </row>
    <row r="1146" spans="1:2" x14ac:dyDescent="0.3">
      <c r="A1146" s="3">
        <v>44902</v>
      </c>
      <c r="B1146" s="4">
        <v>522.55999999999995</v>
      </c>
    </row>
    <row r="1147" spans="1:2" x14ac:dyDescent="0.3">
      <c r="A1147" s="11">
        <v>44903</v>
      </c>
      <c r="B1147" s="12">
        <v>524.41</v>
      </c>
    </row>
    <row r="1148" spans="1:2" x14ac:dyDescent="0.3">
      <c r="A1148" s="3">
        <v>44904</v>
      </c>
      <c r="B1148" s="4">
        <v>521.51</v>
      </c>
    </row>
    <row r="1149" spans="1:2" x14ac:dyDescent="0.3">
      <c r="A1149" s="11">
        <v>44907</v>
      </c>
      <c r="B1149" s="12">
        <v>522.04</v>
      </c>
    </row>
    <row r="1150" spans="1:2" x14ac:dyDescent="0.3">
      <c r="A1150" s="3">
        <v>44908</v>
      </c>
      <c r="B1150" s="4">
        <v>524.9</v>
      </c>
    </row>
    <row r="1151" spans="1:2" x14ac:dyDescent="0.3">
      <c r="A1151" s="11">
        <v>44909</v>
      </c>
      <c r="B1151" s="12">
        <v>526.67999999999995</v>
      </c>
    </row>
    <row r="1152" spans="1:2" x14ac:dyDescent="0.3">
      <c r="A1152" s="3">
        <v>44910</v>
      </c>
      <c r="B1152" s="4">
        <v>522.57000000000005</v>
      </c>
    </row>
    <row r="1153" spans="1:2" x14ac:dyDescent="0.3">
      <c r="A1153" s="11">
        <v>44911</v>
      </c>
      <c r="B1153" s="12">
        <v>517.91</v>
      </c>
    </row>
    <row r="1154" spans="1:2" x14ac:dyDescent="0.3">
      <c r="A1154" s="3">
        <v>44914</v>
      </c>
      <c r="B1154" s="4">
        <v>519.72</v>
      </c>
    </row>
    <row r="1155" spans="1:2" x14ac:dyDescent="0.3">
      <c r="A1155" s="11">
        <v>44915</v>
      </c>
      <c r="B1155" s="12">
        <v>518.16</v>
      </c>
    </row>
    <row r="1156" spans="1:2" x14ac:dyDescent="0.3">
      <c r="A1156" s="3">
        <v>44916</v>
      </c>
      <c r="B1156" s="4">
        <v>511.14</v>
      </c>
    </row>
    <row r="1157" spans="1:2" x14ac:dyDescent="0.3">
      <c r="A1157" s="11">
        <v>44917</v>
      </c>
      <c r="B1157" s="12">
        <v>507.82</v>
      </c>
    </row>
    <row r="1158" spans="1:2" x14ac:dyDescent="0.3">
      <c r="A1158" s="3">
        <v>44918</v>
      </c>
      <c r="B1158" s="4">
        <v>495.54</v>
      </c>
    </row>
    <row r="1159" spans="1:2" x14ac:dyDescent="0.3">
      <c r="A1159" s="11">
        <v>44921</v>
      </c>
      <c r="B1159" s="12">
        <v>504.41</v>
      </c>
    </row>
    <row r="1160" spans="1:2" x14ac:dyDescent="0.3">
      <c r="A1160" s="3">
        <v>44922</v>
      </c>
      <c r="B1160" s="4">
        <v>508.31</v>
      </c>
    </row>
    <row r="1161" spans="1:2" x14ac:dyDescent="0.3">
      <c r="A1161" s="11">
        <v>44923</v>
      </c>
      <c r="B1161" s="12">
        <v>508.63</v>
      </c>
    </row>
    <row r="1162" spans="1:2" x14ac:dyDescent="0.3">
      <c r="A1162" s="3">
        <v>44924</v>
      </c>
      <c r="B1162" s="4">
        <v>510.15</v>
      </c>
    </row>
    <row r="1163" spans="1:2" x14ac:dyDescent="0.3">
      <c r="A1163" s="11">
        <v>44925</v>
      </c>
      <c r="B1163" s="12">
        <v>510</v>
      </c>
    </row>
    <row r="1164" spans="1:2" x14ac:dyDescent="0.3">
      <c r="A1164" s="3">
        <v>44928</v>
      </c>
      <c r="B1164" s="4">
        <v>512.88</v>
      </c>
    </row>
    <row r="1165" spans="1:2" x14ac:dyDescent="0.3">
      <c r="A1165" s="11">
        <v>44929</v>
      </c>
      <c r="B1165" s="12">
        <v>513.38</v>
      </c>
    </row>
    <row r="1166" spans="1:2" x14ac:dyDescent="0.3">
      <c r="A1166" s="3">
        <v>44930</v>
      </c>
      <c r="B1166" s="4">
        <v>509.42</v>
      </c>
    </row>
    <row r="1167" spans="1:2" x14ac:dyDescent="0.3">
      <c r="A1167" s="11">
        <v>44931</v>
      </c>
      <c r="B1167" s="12">
        <v>509.87</v>
      </c>
    </row>
    <row r="1168" spans="1:2" x14ac:dyDescent="0.3">
      <c r="A1168" s="3">
        <v>44932</v>
      </c>
      <c r="B1168" s="4">
        <v>506.5</v>
      </c>
    </row>
    <row r="1169" spans="1:2" x14ac:dyDescent="0.3">
      <c r="A1169" s="11">
        <v>44935</v>
      </c>
      <c r="B1169" s="12">
        <v>510.12</v>
      </c>
    </row>
    <row r="1170" spans="1:2" x14ac:dyDescent="0.3">
      <c r="A1170" s="3">
        <v>44936</v>
      </c>
      <c r="B1170" s="4">
        <v>507.73</v>
      </c>
    </row>
    <row r="1171" spans="1:2" x14ac:dyDescent="0.3">
      <c r="A1171" s="11">
        <v>44937</v>
      </c>
      <c r="B1171" s="12">
        <v>508.84</v>
      </c>
    </row>
    <row r="1172" spans="1:2" x14ac:dyDescent="0.3">
      <c r="A1172" s="3">
        <v>44938</v>
      </c>
      <c r="B1172" s="4">
        <v>509.33</v>
      </c>
    </row>
    <row r="1173" spans="1:2" x14ac:dyDescent="0.3">
      <c r="A1173" s="11">
        <v>44939</v>
      </c>
      <c r="B1173" s="12">
        <v>510.39</v>
      </c>
    </row>
    <row r="1174" spans="1:2" x14ac:dyDescent="0.3">
      <c r="A1174" s="3">
        <v>44942</v>
      </c>
      <c r="B1174" s="4">
        <v>508.74</v>
      </c>
    </row>
    <row r="1175" spans="1:2" x14ac:dyDescent="0.3">
      <c r="A1175" s="11">
        <v>44943</v>
      </c>
      <c r="B1175" s="12">
        <v>508.98</v>
      </c>
    </row>
    <row r="1176" spans="1:2" x14ac:dyDescent="0.3">
      <c r="A1176" s="3">
        <v>44944</v>
      </c>
      <c r="B1176" s="4">
        <v>510.59</v>
      </c>
    </row>
    <row r="1177" spans="1:2" x14ac:dyDescent="0.3">
      <c r="A1177" s="11">
        <v>44945</v>
      </c>
      <c r="B1177" s="12">
        <v>509.52</v>
      </c>
    </row>
    <row r="1178" spans="1:2" x14ac:dyDescent="0.3">
      <c r="A1178" s="3">
        <v>44946</v>
      </c>
      <c r="B1178" s="4">
        <v>507.2</v>
      </c>
    </row>
    <row r="1179" spans="1:2" x14ac:dyDescent="0.3">
      <c r="A1179" s="11">
        <v>44949</v>
      </c>
      <c r="B1179" s="12">
        <v>508.25</v>
      </c>
    </row>
    <row r="1180" spans="1:2" x14ac:dyDescent="0.3">
      <c r="A1180" s="3">
        <v>44950</v>
      </c>
      <c r="B1180" s="4">
        <v>507.37</v>
      </c>
    </row>
    <row r="1181" spans="1:2" x14ac:dyDescent="0.3">
      <c r="A1181" s="11">
        <v>44951</v>
      </c>
      <c r="B1181" s="12">
        <v>502.71</v>
      </c>
    </row>
    <row r="1182" spans="1:2" x14ac:dyDescent="0.3">
      <c r="A1182" s="3">
        <v>44953</v>
      </c>
      <c r="B1182" s="4">
        <v>496.77</v>
      </c>
    </row>
    <row r="1183" spans="1:2" x14ac:dyDescent="0.3">
      <c r="A1183" s="11">
        <v>44956</v>
      </c>
      <c r="B1183" s="12">
        <v>497.17</v>
      </c>
    </row>
    <row r="1184" spans="1:2" x14ac:dyDescent="0.3">
      <c r="A1184" s="3">
        <v>44957</v>
      </c>
      <c r="B1184" s="4">
        <v>501.74</v>
      </c>
    </row>
    <row r="1185" spans="1:2" x14ac:dyDescent="0.3">
      <c r="A1185" s="11">
        <v>44958</v>
      </c>
      <c r="B1185" s="12">
        <v>499.75</v>
      </c>
    </row>
    <row r="1186" spans="1:2" x14ac:dyDescent="0.3">
      <c r="A1186" s="3">
        <v>44959</v>
      </c>
      <c r="B1186" s="4">
        <v>500.68</v>
      </c>
    </row>
    <row r="1187" spans="1:2" x14ac:dyDescent="0.3">
      <c r="A1187" s="11">
        <v>44960</v>
      </c>
      <c r="B1187" s="12">
        <v>502.91</v>
      </c>
    </row>
    <row r="1188" spans="1:2" x14ac:dyDescent="0.3">
      <c r="A1188" s="3">
        <v>44963</v>
      </c>
      <c r="B1188" s="4">
        <v>505.18</v>
      </c>
    </row>
    <row r="1189" spans="1:2" x14ac:dyDescent="0.3">
      <c r="A1189" s="11">
        <v>44964</v>
      </c>
      <c r="B1189" s="12">
        <v>504.31</v>
      </c>
    </row>
    <row r="1190" spans="1:2" x14ac:dyDescent="0.3">
      <c r="A1190" s="3">
        <v>44965</v>
      </c>
      <c r="B1190" s="4">
        <v>507.31</v>
      </c>
    </row>
    <row r="1191" spans="1:2" x14ac:dyDescent="0.3">
      <c r="A1191" s="11">
        <v>44966</v>
      </c>
      <c r="B1191" s="12">
        <v>508.37</v>
      </c>
    </row>
    <row r="1192" spans="1:2" x14ac:dyDescent="0.3">
      <c r="A1192" s="3">
        <v>44967</v>
      </c>
      <c r="B1192" s="4">
        <v>509.75</v>
      </c>
    </row>
    <row r="1193" spans="1:2" x14ac:dyDescent="0.3">
      <c r="A1193" s="11">
        <v>44970</v>
      </c>
      <c r="B1193" s="12">
        <v>505.53</v>
      </c>
    </row>
    <row r="1194" spans="1:2" x14ac:dyDescent="0.3">
      <c r="A1194" s="3">
        <v>44971</v>
      </c>
      <c r="B1194" s="4">
        <v>506.82</v>
      </c>
    </row>
    <row r="1195" spans="1:2" x14ac:dyDescent="0.3">
      <c r="A1195" s="11">
        <v>44972</v>
      </c>
      <c r="B1195" s="12">
        <v>508.76</v>
      </c>
    </row>
    <row r="1196" spans="1:2" x14ac:dyDescent="0.3">
      <c r="A1196" s="3">
        <v>44973</v>
      </c>
      <c r="B1196" s="4">
        <v>510.58</v>
      </c>
    </row>
    <row r="1197" spans="1:2" x14ac:dyDescent="0.3">
      <c r="A1197" s="11">
        <v>44974</v>
      </c>
      <c r="B1197" s="12">
        <v>508.75</v>
      </c>
    </row>
    <row r="1198" spans="1:2" x14ac:dyDescent="0.3">
      <c r="A1198" s="3">
        <v>44977</v>
      </c>
      <c r="B1198" s="4">
        <v>507.86</v>
      </c>
    </row>
    <row r="1199" spans="1:2" x14ac:dyDescent="0.3">
      <c r="A1199" s="11">
        <v>44978</v>
      </c>
      <c r="B1199" s="12">
        <v>507.2</v>
      </c>
    </row>
    <row r="1200" spans="1:2" x14ac:dyDescent="0.3">
      <c r="A1200" s="3">
        <v>44979</v>
      </c>
      <c r="B1200" s="4">
        <v>502.8</v>
      </c>
    </row>
    <row r="1201" spans="1:2" x14ac:dyDescent="0.3">
      <c r="A1201" s="11">
        <v>44980</v>
      </c>
      <c r="B1201" s="12">
        <v>502.45</v>
      </c>
    </row>
    <row r="1202" spans="1:2" x14ac:dyDescent="0.3">
      <c r="A1202" s="3">
        <v>44981</v>
      </c>
      <c r="B1202" s="4">
        <v>500.88</v>
      </c>
    </row>
    <row r="1203" spans="1:2" x14ac:dyDescent="0.3">
      <c r="A1203" s="11">
        <v>44984</v>
      </c>
      <c r="B1203" s="12">
        <v>498.09</v>
      </c>
    </row>
    <row r="1204" spans="1:2" x14ac:dyDescent="0.3">
      <c r="A1204" s="3">
        <v>44985</v>
      </c>
      <c r="B1204" s="4">
        <v>497.98</v>
      </c>
    </row>
    <row r="1205" spans="1:2" x14ac:dyDescent="0.3">
      <c r="A1205" s="11">
        <v>44986</v>
      </c>
      <c r="B1205" s="12">
        <v>502.09</v>
      </c>
    </row>
    <row r="1206" spans="1:2" x14ac:dyDescent="0.3">
      <c r="A1206" s="3">
        <v>44987</v>
      </c>
      <c r="B1206" s="4">
        <v>500.23</v>
      </c>
    </row>
    <row r="1207" spans="1:2" x14ac:dyDescent="0.3">
      <c r="A1207" s="11">
        <v>44988</v>
      </c>
      <c r="B1207" s="12">
        <v>504.14</v>
      </c>
    </row>
    <row r="1208" spans="1:2" x14ac:dyDescent="0.3">
      <c r="A1208" s="3">
        <v>44991</v>
      </c>
      <c r="B1208" s="4">
        <v>506.68</v>
      </c>
    </row>
    <row r="1209" spans="1:2" x14ac:dyDescent="0.3">
      <c r="A1209" s="11">
        <v>44993</v>
      </c>
      <c r="B1209" s="12">
        <v>508.45</v>
      </c>
    </row>
    <row r="1210" spans="1:2" x14ac:dyDescent="0.3">
      <c r="A1210" s="3">
        <v>44994</v>
      </c>
      <c r="B1210" s="4">
        <v>505.44</v>
      </c>
    </row>
    <row r="1211" spans="1:2" x14ac:dyDescent="0.3">
      <c r="A1211" s="11">
        <v>44995</v>
      </c>
      <c r="B1211" s="12">
        <v>501.47</v>
      </c>
    </row>
    <row r="1212" spans="1:2" x14ac:dyDescent="0.3">
      <c r="A1212" s="3">
        <v>44998</v>
      </c>
      <c r="B1212" s="4">
        <v>493.67</v>
      </c>
    </row>
    <row r="1213" spans="1:2" x14ac:dyDescent="0.3">
      <c r="A1213" s="11">
        <v>44999</v>
      </c>
      <c r="B1213" s="12">
        <v>491.91</v>
      </c>
    </row>
    <row r="1214" spans="1:2" x14ac:dyDescent="0.3">
      <c r="A1214" s="3">
        <v>45000</v>
      </c>
      <c r="B1214" s="4">
        <v>490.96</v>
      </c>
    </row>
    <row r="1215" spans="1:2" x14ac:dyDescent="0.3">
      <c r="A1215" s="11">
        <v>45001</v>
      </c>
      <c r="B1215" s="12">
        <v>489.97</v>
      </c>
    </row>
    <row r="1216" spans="1:2" x14ac:dyDescent="0.3">
      <c r="A1216" s="3">
        <v>45002</v>
      </c>
      <c r="B1216" s="4">
        <v>491.82</v>
      </c>
    </row>
    <row r="1217" spans="1:2" x14ac:dyDescent="0.3">
      <c r="A1217" s="11">
        <v>45005</v>
      </c>
      <c r="B1217" s="12">
        <v>488.24</v>
      </c>
    </row>
    <row r="1218" spans="1:2" x14ac:dyDescent="0.3">
      <c r="A1218" s="3">
        <v>45006</v>
      </c>
      <c r="B1218" s="4">
        <v>491.26</v>
      </c>
    </row>
    <row r="1219" spans="1:2" x14ac:dyDescent="0.3">
      <c r="A1219" s="11">
        <v>45007</v>
      </c>
      <c r="B1219" s="12">
        <v>492.81</v>
      </c>
    </row>
    <row r="1220" spans="1:2" x14ac:dyDescent="0.3">
      <c r="A1220" s="3">
        <v>45008</v>
      </c>
      <c r="B1220" s="4">
        <v>491.28</v>
      </c>
    </row>
    <row r="1221" spans="1:2" x14ac:dyDescent="0.3">
      <c r="A1221" s="11">
        <v>45009</v>
      </c>
      <c r="B1221" s="12">
        <v>487.83</v>
      </c>
    </row>
    <row r="1222" spans="1:2" x14ac:dyDescent="0.3">
      <c r="A1222" s="3">
        <v>45012</v>
      </c>
      <c r="B1222" s="4">
        <v>486.63</v>
      </c>
    </row>
    <row r="1223" spans="1:2" x14ac:dyDescent="0.3">
      <c r="A1223" s="11">
        <v>45013</v>
      </c>
      <c r="B1223" s="12">
        <v>485.34</v>
      </c>
    </row>
    <row r="1224" spans="1:2" x14ac:dyDescent="0.3">
      <c r="A1224" s="3">
        <v>45014</v>
      </c>
      <c r="B1224" s="4">
        <v>491.73</v>
      </c>
    </row>
    <row r="1225" spans="1:2" x14ac:dyDescent="0.3">
      <c r="A1225" s="11">
        <v>45016</v>
      </c>
      <c r="B1225" s="12">
        <v>497.61</v>
      </c>
    </row>
    <row r="1226" spans="1:2" x14ac:dyDescent="0.3">
      <c r="A1226" s="3">
        <v>45019</v>
      </c>
      <c r="B1226" s="4">
        <v>499.49</v>
      </c>
    </row>
    <row r="1227" spans="1:2" x14ac:dyDescent="0.3">
      <c r="A1227" s="11">
        <v>45021</v>
      </c>
      <c r="B1227" s="12">
        <v>500.6</v>
      </c>
    </row>
    <row r="1228" spans="1:2" x14ac:dyDescent="0.3">
      <c r="A1228" s="3">
        <v>45022</v>
      </c>
      <c r="B1228" s="4">
        <v>502.06</v>
      </c>
    </row>
    <row r="1229" spans="1:2" x14ac:dyDescent="0.3">
      <c r="A1229" s="11">
        <v>45026</v>
      </c>
      <c r="B1229" s="12">
        <v>502.96</v>
      </c>
    </row>
    <row r="1230" spans="1:2" x14ac:dyDescent="0.3">
      <c r="A1230" s="3">
        <v>45027</v>
      </c>
      <c r="B1230" s="4">
        <v>504.17</v>
      </c>
    </row>
    <row r="1231" spans="1:2" x14ac:dyDescent="0.3">
      <c r="A1231" s="11">
        <v>45028</v>
      </c>
      <c r="B1231" s="12">
        <v>505.17</v>
      </c>
    </row>
    <row r="1232" spans="1:2" x14ac:dyDescent="0.3">
      <c r="A1232" s="3">
        <v>45029</v>
      </c>
      <c r="B1232" s="4">
        <v>505.2</v>
      </c>
    </row>
    <row r="1233" spans="1:2" x14ac:dyDescent="0.3">
      <c r="A1233" s="11">
        <v>45033</v>
      </c>
      <c r="B1233" s="12">
        <v>503.88</v>
      </c>
    </row>
    <row r="1234" spans="1:2" x14ac:dyDescent="0.3">
      <c r="A1234" s="3">
        <v>45034</v>
      </c>
      <c r="B1234" s="4">
        <v>504.19</v>
      </c>
    </row>
    <row r="1235" spans="1:2" x14ac:dyDescent="0.3">
      <c r="A1235" s="11">
        <v>45035</v>
      </c>
      <c r="B1235" s="12">
        <v>501.98</v>
      </c>
    </row>
    <row r="1236" spans="1:2" x14ac:dyDescent="0.3">
      <c r="A1236" s="3">
        <v>45036</v>
      </c>
      <c r="B1236" s="4">
        <v>502.85</v>
      </c>
    </row>
    <row r="1237" spans="1:2" x14ac:dyDescent="0.3">
      <c r="A1237" s="11">
        <v>45037</v>
      </c>
      <c r="B1237" s="12">
        <v>502.2</v>
      </c>
    </row>
    <row r="1238" spans="1:2" x14ac:dyDescent="0.3">
      <c r="A1238" s="3">
        <v>45040</v>
      </c>
      <c r="B1238" s="4">
        <v>503.65</v>
      </c>
    </row>
    <row r="1239" spans="1:2" x14ac:dyDescent="0.3">
      <c r="A1239" s="11">
        <v>45041</v>
      </c>
      <c r="B1239" s="12">
        <v>505.03</v>
      </c>
    </row>
    <row r="1240" spans="1:2" x14ac:dyDescent="0.3">
      <c r="A1240" s="3">
        <v>45042</v>
      </c>
      <c r="B1240" s="4">
        <v>506.02</v>
      </c>
    </row>
    <row r="1241" spans="1:2" x14ac:dyDescent="0.3">
      <c r="A1241" s="11">
        <v>45043</v>
      </c>
      <c r="B1241" s="12">
        <v>508.78</v>
      </c>
    </row>
    <row r="1242" spans="1:2" x14ac:dyDescent="0.3">
      <c r="A1242" s="3">
        <v>45044</v>
      </c>
      <c r="B1242" s="4">
        <v>512.86</v>
      </c>
    </row>
    <row r="1243" spans="1:2" x14ac:dyDescent="0.3">
      <c r="A1243" s="11">
        <v>45048</v>
      </c>
      <c r="B1243" s="12">
        <v>515.28</v>
      </c>
    </row>
    <row r="1244" spans="1:2" x14ac:dyDescent="0.3">
      <c r="A1244" s="3">
        <v>45049</v>
      </c>
      <c r="B1244" s="4">
        <v>515.38</v>
      </c>
    </row>
    <row r="1245" spans="1:2" x14ac:dyDescent="0.3">
      <c r="A1245" s="11">
        <v>45050</v>
      </c>
      <c r="B1245" s="12">
        <v>519.22</v>
      </c>
    </row>
    <row r="1246" spans="1:2" x14ac:dyDescent="0.3">
      <c r="A1246" s="3">
        <v>45051</v>
      </c>
      <c r="B1246" s="4">
        <v>516.45000000000005</v>
      </c>
    </row>
    <row r="1247" spans="1:2" x14ac:dyDescent="0.3">
      <c r="A1247" s="11">
        <v>45054</v>
      </c>
      <c r="B1247" s="12">
        <v>521.79</v>
      </c>
    </row>
    <row r="1248" spans="1:2" x14ac:dyDescent="0.3">
      <c r="A1248" s="3">
        <v>45055</v>
      </c>
      <c r="B1248" s="4">
        <v>521.99</v>
      </c>
    </row>
    <row r="1249" spans="1:2" x14ac:dyDescent="0.3">
      <c r="A1249" s="11">
        <v>45056</v>
      </c>
      <c r="B1249" s="12">
        <v>525.42999999999995</v>
      </c>
    </row>
    <row r="1250" spans="1:2" x14ac:dyDescent="0.3">
      <c r="A1250" s="3">
        <v>45057</v>
      </c>
      <c r="B1250" s="4">
        <v>528.14</v>
      </c>
    </row>
    <row r="1251" spans="1:2" x14ac:dyDescent="0.3">
      <c r="A1251" s="11">
        <v>45058</v>
      </c>
      <c r="B1251" s="12">
        <v>526.87</v>
      </c>
    </row>
    <row r="1252" spans="1:2" x14ac:dyDescent="0.3">
      <c r="A1252" s="3">
        <v>45061</v>
      </c>
      <c r="B1252" s="4">
        <v>530.49</v>
      </c>
    </row>
    <row r="1253" spans="1:2" x14ac:dyDescent="0.3">
      <c r="A1253" s="11">
        <v>45062</v>
      </c>
      <c r="B1253" s="12">
        <v>530.33000000000004</v>
      </c>
    </row>
    <row r="1254" spans="1:2" x14ac:dyDescent="0.3">
      <c r="A1254" s="3">
        <v>45063</v>
      </c>
      <c r="B1254" s="4">
        <v>528.84</v>
      </c>
    </row>
    <row r="1255" spans="1:2" x14ac:dyDescent="0.3">
      <c r="A1255" s="11">
        <v>45064</v>
      </c>
      <c r="B1255" s="12">
        <v>527.94000000000005</v>
      </c>
    </row>
    <row r="1256" spans="1:2" x14ac:dyDescent="0.3">
      <c r="A1256" s="3">
        <v>45065</v>
      </c>
      <c r="B1256" s="4">
        <v>528.16999999999996</v>
      </c>
    </row>
    <row r="1257" spans="1:2" x14ac:dyDescent="0.3">
      <c r="A1257" s="11">
        <v>45068</v>
      </c>
      <c r="B1257" s="12">
        <v>529.91</v>
      </c>
    </row>
    <row r="1258" spans="1:2" x14ac:dyDescent="0.3">
      <c r="A1258" s="3">
        <v>45069</v>
      </c>
      <c r="B1258" s="4">
        <v>530.99</v>
      </c>
    </row>
    <row r="1259" spans="1:2" x14ac:dyDescent="0.3">
      <c r="A1259" s="11">
        <v>45070</v>
      </c>
      <c r="B1259" s="12">
        <v>529.59</v>
      </c>
    </row>
    <row r="1260" spans="1:2" x14ac:dyDescent="0.3">
      <c r="A1260" s="3">
        <v>45071</v>
      </c>
      <c r="B1260" s="4">
        <v>530.91</v>
      </c>
    </row>
    <row r="1261" spans="1:2" x14ac:dyDescent="0.3">
      <c r="A1261" s="11">
        <v>45072</v>
      </c>
      <c r="B1261" s="12">
        <v>535.29999999999995</v>
      </c>
    </row>
    <row r="1262" spans="1:2" x14ac:dyDescent="0.3">
      <c r="A1262" s="3">
        <v>45075</v>
      </c>
      <c r="B1262" s="4">
        <v>535.91</v>
      </c>
    </row>
    <row r="1263" spans="1:2" x14ac:dyDescent="0.3">
      <c r="A1263" s="11">
        <v>45076</v>
      </c>
      <c r="B1263" s="12">
        <v>536.84</v>
      </c>
    </row>
    <row r="1264" spans="1:2" x14ac:dyDescent="0.3">
      <c r="A1264" s="3">
        <v>45077</v>
      </c>
      <c r="B1264" s="4">
        <v>537.32000000000005</v>
      </c>
    </row>
    <row r="1265" spans="1:2" x14ac:dyDescent="0.3">
      <c r="A1265" s="11">
        <v>45078</v>
      </c>
      <c r="B1265" s="12">
        <v>538.29</v>
      </c>
    </row>
    <row r="1266" spans="1:2" x14ac:dyDescent="0.3">
      <c r="A1266" s="3">
        <v>45079</v>
      </c>
      <c r="B1266" s="4">
        <v>541.72</v>
      </c>
    </row>
    <row r="1267" spans="1:2" x14ac:dyDescent="0.3">
      <c r="A1267" s="11">
        <v>45082</v>
      </c>
      <c r="B1267" s="12">
        <v>543.57000000000005</v>
      </c>
    </row>
    <row r="1268" spans="1:2" x14ac:dyDescent="0.3">
      <c r="A1268" s="3">
        <v>45083</v>
      </c>
      <c r="B1268" s="4">
        <v>544.89</v>
      </c>
    </row>
    <row r="1269" spans="1:2" x14ac:dyDescent="0.3">
      <c r="A1269" s="11">
        <v>45084</v>
      </c>
      <c r="B1269" s="12">
        <v>549.92999999999995</v>
      </c>
    </row>
    <row r="1270" spans="1:2" x14ac:dyDescent="0.3">
      <c r="A1270" s="3">
        <v>45085</v>
      </c>
      <c r="B1270" s="4">
        <v>547.29999999999995</v>
      </c>
    </row>
    <row r="1271" spans="1:2" x14ac:dyDescent="0.3">
      <c r="A1271" s="11">
        <v>45086</v>
      </c>
      <c r="B1271" s="12">
        <v>546.41</v>
      </c>
    </row>
    <row r="1272" spans="1:2" x14ac:dyDescent="0.3">
      <c r="A1272" s="3">
        <v>45089</v>
      </c>
      <c r="B1272" s="4">
        <v>549.92999999999995</v>
      </c>
    </row>
    <row r="1273" spans="1:2" x14ac:dyDescent="0.3">
      <c r="A1273" s="11">
        <v>45090</v>
      </c>
      <c r="B1273" s="12">
        <v>553.21</v>
      </c>
    </row>
    <row r="1274" spans="1:2" x14ac:dyDescent="0.3">
      <c r="A1274" s="3">
        <v>45091</v>
      </c>
      <c r="B1274" s="4">
        <v>555.03</v>
      </c>
    </row>
    <row r="1275" spans="1:2" x14ac:dyDescent="0.3">
      <c r="A1275" s="11">
        <v>45092</v>
      </c>
      <c r="B1275" s="12">
        <v>554.41999999999996</v>
      </c>
    </row>
    <row r="1276" spans="1:2" x14ac:dyDescent="0.3">
      <c r="A1276" s="3">
        <v>45093</v>
      </c>
      <c r="B1276" s="4">
        <v>559.24</v>
      </c>
    </row>
    <row r="1277" spans="1:2" x14ac:dyDescent="0.3">
      <c r="A1277" s="11">
        <v>45096</v>
      </c>
      <c r="B1277" s="12">
        <v>558.25</v>
      </c>
    </row>
    <row r="1278" spans="1:2" x14ac:dyDescent="0.3">
      <c r="A1278" s="3">
        <v>45097</v>
      </c>
      <c r="B1278" s="4">
        <v>559.98</v>
      </c>
    </row>
    <row r="1279" spans="1:2" x14ac:dyDescent="0.3">
      <c r="A1279" s="11">
        <v>45098</v>
      </c>
      <c r="B1279" s="12">
        <v>561.83000000000004</v>
      </c>
    </row>
    <row r="1280" spans="1:2" x14ac:dyDescent="0.3">
      <c r="A1280" s="3">
        <v>45099</v>
      </c>
      <c r="B1280" s="4">
        <v>558.67999999999995</v>
      </c>
    </row>
    <row r="1281" spans="1:2" x14ac:dyDescent="0.3">
      <c r="A1281" s="11">
        <v>45100</v>
      </c>
      <c r="B1281" s="12">
        <v>554.41</v>
      </c>
    </row>
    <row r="1282" spans="1:2" x14ac:dyDescent="0.3">
      <c r="A1282" s="3">
        <v>45103</v>
      </c>
      <c r="B1282" s="4">
        <v>556.57000000000005</v>
      </c>
    </row>
    <row r="1283" spans="1:2" x14ac:dyDescent="0.3">
      <c r="A1283" s="11">
        <v>45104</v>
      </c>
      <c r="B1283" s="12">
        <v>560.02</v>
      </c>
    </row>
    <row r="1284" spans="1:2" x14ac:dyDescent="0.3">
      <c r="A1284" s="3">
        <v>45105</v>
      </c>
      <c r="B1284" s="4">
        <v>563.79999999999995</v>
      </c>
    </row>
    <row r="1285" spans="1:2" x14ac:dyDescent="0.3">
      <c r="A1285" s="11">
        <v>45107</v>
      </c>
      <c r="B1285" s="12">
        <v>568.61</v>
      </c>
    </row>
    <row r="1286" spans="1:2" x14ac:dyDescent="0.3">
      <c r="A1286" s="3">
        <v>45110</v>
      </c>
      <c r="B1286" s="4">
        <v>569.63</v>
      </c>
    </row>
    <row r="1287" spans="1:2" x14ac:dyDescent="0.3">
      <c r="A1287" s="11">
        <v>45111</v>
      </c>
      <c r="B1287" s="12">
        <v>569.34</v>
      </c>
    </row>
    <row r="1288" spans="1:2" x14ac:dyDescent="0.3">
      <c r="A1288" s="3">
        <v>45112</v>
      </c>
      <c r="B1288" s="4">
        <v>571.76</v>
      </c>
    </row>
    <row r="1289" spans="1:2" x14ac:dyDescent="0.3">
      <c r="A1289" s="11">
        <v>45113</v>
      </c>
      <c r="B1289" s="12">
        <v>575.26</v>
      </c>
    </row>
    <row r="1290" spans="1:2" x14ac:dyDescent="0.3">
      <c r="A1290" s="3">
        <v>45114</v>
      </c>
      <c r="B1290" s="4">
        <v>573.16</v>
      </c>
    </row>
    <row r="1291" spans="1:2" x14ac:dyDescent="0.3">
      <c r="A1291" s="11">
        <v>45117</v>
      </c>
      <c r="B1291" s="12">
        <v>572.17999999999995</v>
      </c>
    </row>
    <row r="1292" spans="1:2" x14ac:dyDescent="0.3">
      <c r="A1292" s="3">
        <v>45118</v>
      </c>
      <c r="B1292" s="4">
        <v>576.16</v>
      </c>
    </row>
    <row r="1293" spans="1:2" x14ac:dyDescent="0.3">
      <c r="A1293" s="11">
        <v>45119</v>
      </c>
      <c r="B1293" s="12">
        <v>575.87</v>
      </c>
    </row>
    <row r="1294" spans="1:2" x14ac:dyDescent="0.3">
      <c r="A1294" s="3">
        <v>45120</v>
      </c>
      <c r="B1294" s="4">
        <v>575.22</v>
      </c>
    </row>
    <row r="1295" spans="1:2" x14ac:dyDescent="0.3">
      <c r="A1295" s="11">
        <v>45121</v>
      </c>
      <c r="B1295" s="12">
        <v>579.49</v>
      </c>
    </row>
    <row r="1296" spans="1:2" x14ac:dyDescent="0.3">
      <c r="A1296" s="3">
        <v>45124</v>
      </c>
      <c r="B1296" s="4">
        <v>582.1</v>
      </c>
    </row>
    <row r="1297" spans="1:2" x14ac:dyDescent="0.3">
      <c r="A1297" s="11">
        <v>45125</v>
      </c>
      <c r="B1297" s="12">
        <v>581.63</v>
      </c>
    </row>
    <row r="1298" spans="1:2" x14ac:dyDescent="0.3">
      <c r="A1298" s="3">
        <v>45126</v>
      </c>
      <c r="B1298" s="4">
        <v>583.96</v>
      </c>
    </row>
    <row r="1299" spans="1:2" x14ac:dyDescent="0.3">
      <c r="A1299" s="11">
        <v>45127</v>
      </c>
      <c r="B1299" s="12">
        <v>585.85</v>
      </c>
    </row>
    <row r="1300" spans="1:2" x14ac:dyDescent="0.3">
      <c r="A1300" s="3">
        <v>45128</v>
      </c>
      <c r="B1300" s="4">
        <v>583.63</v>
      </c>
    </row>
    <row r="1301" spans="1:2" x14ac:dyDescent="0.3">
      <c r="A1301" s="11">
        <v>45131</v>
      </c>
      <c r="B1301" s="12">
        <v>583.41999999999996</v>
      </c>
    </row>
    <row r="1302" spans="1:2" x14ac:dyDescent="0.3">
      <c r="A1302" s="3">
        <v>45132</v>
      </c>
      <c r="B1302" s="4">
        <v>585.33000000000004</v>
      </c>
    </row>
    <row r="1303" spans="1:2" x14ac:dyDescent="0.3">
      <c r="A1303" s="11">
        <v>45133</v>
      </c>
      <c r="B1303" s="12">
        <v>589.5</v>
      </c>
    </row>
    <row r="1304" spans="1:2" x14ac:dyDescent="0.3">
      <c r="A1304" s="3">
        <v>45134</v>
      </c>
      <c r="B1304" s="4">
        <v>589.34</v>
      </c>
    </row>
    <row r="1305" spans="1:2" x14ac:dyDescent="0.3">
      <c r="A1305" s="11">
        <v>45135</v>
      </c>
      <c r="B1305" s="12">
        <v>590.73</v>
      </c>
    </row>
    <row r="1306" spans="1:2" x14ac:dyDescent="0.3">
      <c r="A1306" s="3">
        <v>45138</v>
      </c>
      <c r="B1306" s="4">
        <v>596.27</v>
      </c>
    </row>
    <row r="1307" spans="1:2" x14ac:dyDescent="0.3">
      <c r="A1307" s="11">
        <v>45139</v>
      </c>
      <c r="B1307" s="12">
        <v>597.34</v>
      </c>
    </row>
    <row r="1308" spans="1:2" x14ac:dyDescent="0.3">
      <c r="A1308" s="3">
        <v>45140</v>
      </c>
      <c r="B1308" s="4">
        <v>590.65</v>
      </c>
    </row>
    <row r="1309" spans="1:2" x14ac:dyDescent="0.3">
      <c r="A1309" s="11">
        <v>45141</v>
      </c>
      <c r="B1309" s="12">
        <v>589.13</v>
      </c>
    </row>
    <row r="1310" spans="1:2" x14ac:dyDescent="0.3">
      <c r="A1310" s="3">
        <v>45142</v>
      </c>
      <c r="B1310" s="4">
        <v>593.05999999999995</v>
      </c>
    </row>
    <row r="1311" spans="1:2" x14ac:dyDescent="0.3">
      <c r="A1311" s="11">
        <v>45145</v>
      </c>
      <c r="B1311" s="12">
        <v>594.98</v>
      </c>
    </row>
    <row r="1312" spans="1:2" x14ac:dyDescent="0.3">
      <c r="A1312" s="3">
        <v>45146</v>
      </c>
      <c r="B1312" s="4">
        <v>595.78</v>
      </c>
    </row>
    <row r="1313" spans="1:2" x14ac:dyDescent="0.3">
      <c r="A1313" s="11">
        <v>45147</v>
      </c>
      <c r="B1313" s="12">
        <v>597.94000000000005</v>
      </c>
    </row>
    <row r="1314" spans="1:2" x14ac:dyDescent="0.3">
      <c r="A1314" s="3">
        <v>45148</v>
      </c>
      <c r="B1314" s="4">
        <v>594.96</v>
      </c>
    </row>
    <row r="1315" spans="1:2" x14ac:dyDescent="0.3">
      <c r="A1315" s="11">
        <v>45149</v>
      </c>
      <c r="B1315" s="12">
        <v>591.54999999999995</v>
      </c>
    </row>
    <row r="1316" spans="1:2" x14ac:dyDescent="0.3">
      <c r="A1316" s="3">
        <v>45152</v>
      </c>
      <c r="B1316" s="4">
        <v>589.65</v>
      </c>
    </row>
    <row r="1317" spans="1:2" x14ac:dyDescent="0.3">
      <c r="A1317" s="11">
        <v>45154</v>
      </c>
      <c r="B1317" s="12">
        <v>590.65</v>
      </c>
    </row>
    <row r="1318" spans="1:2" x14ac:dyDescent="0.3">
      <c r="A1318" s="3">
        <v>45155</v>
      </c>
      <c r="B1318" s="4">
        <v>590.32000000000005</v>
      </c>
    </row>
    <row r="1319" spans="1:2" x14ac:dyDescent="0.3">
      <c r="A1319" s="11">
        <v>45156</v>
      </c>
      <c r="B1319" s="12">
        <v>588.54999999999995</v>
      </c>
    </row>
    <row r="1320" spans="1:2" x14ac:dyDescent="0.3">
      <c r="A1320" s="3">
        <v>45159</v>
      </c>
      <c r="B1320" s="4">
        <v>591.67999999999995</v>
      </c>
    </row>
    <row r="1321" spans="1:2" x14ac:dyDescent="0.3">
      <c r="A1321" s="11">
        <v>45160</v>
      </c>
      <c r="B1321" s="12">
        <v>594.42999999999995</v>
      </c>
    </row>
    <row r="1322" spans="1:2" x14ac:dyDescent="0.3">
      <c r="A1322" s="3">
        <v>45161</v>
      </c>
      <c r="B1322" s="4">
        <v>596.34</v>
      </c>
    </row>
    <row r="1323" spans="1:2" x14ac:dyDescent="0.3">
      <c r="A1323" s="11">
        <v>45162</v>
      </c>
      <c r="B1323" s="12">
        <v>596.24</v>
      </c>
    </row>
    <row r="1324" spans="1:2" x14ac:dyDescent="0.3">
      <c r="A1324" s="3">
        <v>45163</v>
      </c>
      <c r="B1324" s="4">
        <v>593.42999999999995</v>
      </c>
    </row>
    <row r="1325" spans="1:2" x14ac:dyDescent="0.3">
      <c r="A1325" s="11">
        <v>45166</v>
      </c>
      <c r="B1325" s="12">
        <v>595.08000000000004</v>
      </c>
    </row>
    <row r="1326" spans="1:2" x14ac:dyDescent="0.3">
      <c r="A1326" s="3">
        <v>45167</v>
      </c>
      <c r="B1326" s="4">
        <v>598.13</v>
      </c>
    </row>
    <row r="1327" spans="1:2" x14ac:dyDescent="0.3">
      <c r="A1327" s="11">
        <v>45168</v>
      </c>
      <c r="B1327" s="12">
        <v>600.30999999999995</v>
      </c>
    </row>
    <row r="1328" spans="1:2" x14ac:dyDescent="0.3">
      <c r="A1328" s="3">
        <v>45169</v>
      </c>
      <c r="B1328" s="4">
        <v>599.47</v>
      </c>
    </row>
    <row r="1329" spans="1:2" x14ac:dyDescent="0.3">
      <c r="A1329" s="11">
        <v>45170</v>
      </c>
      <c r="B1329" s="12">
        <v>604.95000000000005</v>
      </c>
    </row>
    <row r="1330" spans="1:2" x14ac:dyDescent="0.3">
      <c r="A1330" s="3">
        <v>45173</v>
      </c>
      <c r="B1330" s="4">
        <v>609.99</v>
      </c>
    </row>
    <row r="1331" spans="1:2" x14ac:dyDescent="0.3">
      <c r="A1331" s="11">
        <v>45174</v>
      </c>
      <c r="B1331" s="12">
        <v>613.48</v>
      </c>
    </row>
    <row r="1332" spans="1:2" x14ac:dyDescent="0.3">
      <c r="A1332" s="3">
        <v>45175</v>
      </c>
      <c r="B1332" s="4">
        <v>615.63</v>
      </c>
    </row>
    <row r="1333" spans="1:2" x14ac:dyDescent="0.3">
      <c r="A1333" s="11">
        <v>45176</v>
      </c>
      <c r="B1333" s="12">
        <v>618.07000000000005</v>
      </c>
    </row>
    <row r="1334" spans="1:2" x14ac:dyDescent="0.3">
      <c r="A1334" s="3">
        <v>45177</v>
      </c>
      <c r="B1334" s="4">
        <v>621.48</v>
      </c>
    </row>
    <row r="1335" spans="1:2" x14ac:dyDescent="0.3">
      <c r="A1335" s="11">
        <v>45180</v>
      </c>
      <c r="B1335" s="12">
        <v>625.94000000000005</v>
      </c>
    </row>
    <row r="1336" spans="1:2" x14ac:dyDescent="0.3">
      <c r="A1336" s="3">
        <v>45181</v>
      </c>
      <c r="B1336" s="4">
        <v>614.32000000000005</v>
      </c>
    </row>
    <row r="1337" spans="1:2" x14ac:dyDescent="0.3">
      <c r="A1337" s="11">
        <v>45182</v>
      </c>
      <c r="B1337" s="12">
        <v>616.84</v>
      </c>
    </row>
    <row r="1338" spans="1:2" x14ac:dyDescent="0.3">
      <c r="A1338" s="3">
        <v>45183</v>
      </c>
      <c r="B1338" s="4">
        <v>620.13</v>
      </c>
    </row>
    <row r="1339" spans="1:2" x14ac:dyDescent="0.3">
      <c r="A1339" s="11">
        <v>45184</v>
      </c>
      <c r="B1339" s="12">
        <v>622.55999999999995</v>
      </c>
    </row>
    <row r="1340" spans="1:2" x14ac:dyDescent="0.3">
      <c r="A1340" s="3">
        <v>45187</v>
      </c>
      <c r="B1340" s="4">
        <v>621.13</v>
      </c>
    </row>
    <row r="1341" spans="1:2" x14ac:dyDescent="0.3">
      <c r="A1341" s="11">
        <v>45189</v>
      </c>
      <c r="B1341" s="12">
        <v>617.32000000000005</v>
      </c>
    </row>
    <row r="1342" spans="1:2" x14ac:dyDescent="0.3">
      <c r="A1342" s="3">
        <v>45190</v>
      </c>
      <c r="B1342" s="4">
        <v>613.59</v>
      </c>
    </row>
    <row r="1343" spans="1:2" x14ac:dyDescent="0.3">
      <c r="A1343" s="11">
        <v>45191</v>
      </c>
      <c r="B1343" s="12">
        <v>611.55999999999995</v>
      </c>
    </row>
    <row r="1344" spans="1:2" x14ac:dyDescent="0.3">
      <c r="A1344" s="3">
        <v>45194</v>
      </c>
      <c r="B1344" s="4">
        <v>610.87</v>
      </c>
    </row>
    <row r="1345" spans="1:2" x14ac:dyDescent="0.3">
      <c r="A1345" s="11">
        <v>45195</v>
      </c>
      <c r="B1345" s="12">
        <v>610.25</v>
      </c>
    </row>
    <row r="1346" spans="1:2" x14ac:dyDescent="0.3">
      <c r="A1346" s="3">
        <v>45196</v>
      </c>
      <c r="B1346" s="4">
        <v>612.80999999999995</v>
      </c>
    </row>
    <row r="1347" spans="1:2" x14ac:dyDescent="0.3">
      <c r="A1347" s="11">
        <v>45198</v>
      </c>
      <c r="B1347" s="12">
        <v>614.23</v>
      </c>
    </row>
    <row r="1348" spans="1:2" x14ac:dyDescent="0.3">
      <c r="A1348" s="3">
        <v>45202</v>
      </c>
      <c r="B1348" s="4">
        <v>612.20000000000005</v>
      </c>
    </row>
    <row r="1349" spans="1:2" x14ac:dyDescent="0.3">
      <c r="A1349" s="11">
        <v>45203</v>
      </c>
      <c r="B1349" s="12">
        <v>607.88</v>
      </c>
    </row>
    <row r="1350" spans="1:2" x14ac:dyDescent="0.3">
      <c r="A1350" s="3">
        <v>45204</v>
      </c>
      <c r="B1350" s="4">
        <v>610.77</v>
      </c>
    </row>
    <row r="1351" spans="1:2" x14ac:dyDescent="0.3">
      <c r="A1351" s="11">
        <v>45205</v>
      </c>
      <c r="B1351" s="12">
        <v>613.87</v>
      </c>
    </row>
    <row r="1352" spans="1:2" x14ac:dyDescent="0.3">
      <c r="A1352" s="3">
        <v>45208</v>
      </c>
      <c r="B1352" s="4">
        <v>608.89</v>
      </c>
    </row>
    <row r="1353" spans="1:2" x14ac:dyDescent="0.3">
      <c r="A1353" s="11">
        <v>45209</v>
      </c>
      <c r="B1353" s="12">
        <v>614.66999999999996</v>
      </c>
    </row>
    <row r="1354" spans="1:2" x14ac:dyDescent="0.3">
      <c r="A1354" s="3">
        <v>45210</v>
      </c>
      <c r="B1354" s="4">
        <v>618.39</v>
      </c>
    </row>
    <row r="1355" spans="1:2" x14ac:dyDescent="0.3">
      <c r="A1355" s="11">
        <v>45211</v>
      </c>
      <c r="B1355" s="12">
        <v>620.76</v>
      </c>
    </row>
    <row r="1356" spans="1:2" x14ac:dyDescent="0.3">
      <c r="A1356" s="3">
        <v>45212</v>
      </c>
      <c r="B1356" s="4">
        <v>620.78</v>
      </c>
    </row>
    <row r="1357" spans="1:2" x14ac:dyDescent="0.3">
      <c r="A1357" s="11">
        <v>45215</v>
      </c>
      <c r="B1357" s="12">
        <v>621.26</v>
      </c>
    </row>
    <row r="1358" spans="1:2" x14ac:dyDescent="0.3">
      <c r="A1358" s="3">
        <v>45216</v>
      </c>
      <c r="B1358" s="4">
        <v>625.23</v>
      </c>
    </row>
    <row r="1359" spans="1:2" x14ac:dyDescent="0.3">
      <c r="A1359" s="11">
        <v>45217</v>
      </c>
      <c r="B1359" s="12">
        <v>621.59</v>
      </c>
    </row>
    <row r="1360" spans="1:2" x14ac:dyDescent="0.3">
      <c r="A1360" s="3">
        <v>45218</v>
      </c>
      <c r="B1360" s="4">
        <v>619.71</v>
      </c>
    </row>
    <row r="1361" spans="1:2" x14ac:dyDescent="0.3">
      <c r="A1361" s="11">
        <v>45219</v>
      </c>
      <c r="B1361" s="12">
        <v>616.4</v>
      </c>
    </row>
    <row r="1362" spans="1:2" x14ac:dyDescent="0.3">
      <c r="A1362" s="3">
        <v>45222</v>
      </c>
      <c r="B1362" s="4">
        <v>604.12</v>
      </c>
    </row>
    <row r="1363" spans="1:2" x14ac:dyDescent="0.3">
      <c r="A1363" s="11">
        <v>45224</v>
      </c>
      <c r="B1363" s="12">
        <v>599.78</v>
      </c>
    </row>
    <row r="1364" spans="1:2" x14ac:dyDescent="0.3">
      <c r="A1364" s="3">
        <v>45225</v>
      </c>
      <c r="B1364" s="4">
        <v>594.41</v>
      </c>
    </row>
    <row r="1365" spans="1:2" x14ac:dyDescent="0.3">
      <c r="A1365" s="11">
        <v>45226</v>
      </c>
      <c r="B1365" s="12">
        <v>601.32000000000005</v>
      </c>
    </row>
    <row r="1366" spans="1:2" x14ac:dyDescent="0.3">
      <c r="A1366" s="3">
        <v>45229</v>
      </c>
      <c r="B1366" s="4">
        <v>602.9</v>
      </c>
    </row>
    <row r="1367" spans="1:2" x14ac:dyDescent="0.3">
      <c r="A1367" s="11">
        <v>45230</v>
      </c>
      <c r="B1367" s="12">
        <v>600.51</v>
      </c>
    </row>
    <row r="1368" spans="1:2" x14ac:dyDescent="0.3">
      <c r="A1368" s="3">
        <v>45231</v>
      </c>
      <c r="B1368" s="4">
        <v>598.64</v>
      </c>
    </row>
    <row r="1369" spans="1:2" x14ac:dyDescent="0.3">
      <c r="A1369" s="11">
        <v>45232</v>
      </c>
      <c r="B1369" s="12">
        <v>604.27</v>
      </c>
    </row>
    <row r="1370" spans="1:2" x14ac:dyDescent="0.3">
      <c r="A1370" s="3">
        <v>45233</v>
      </c>
      <c r="B1370" s="4">
        <v>609.61</v>
      </c>
    </row>
    <row r="1371" spans="1:2" x14ac:dyDescent="0.3">
      <c r="A1371" s="11">
        <v>45236</v>
      </c>
      <c r="B1371" s="12">
        <v>615.57000000000005</v>
      </c>
    </row>
    <row r="1372" spans="1:2" x14ac:dyDescent="0.3">
      <c r="A1372" s="3">
        <v>45237</v>
      </c>
      <c r="B1372" s="4">
        <v>616.33000000000004</v>
      </c>
    </row>
    <row r="1373" spans="1:2" x14ac:dyDescent="0.3">
      <c r="A1373" s="11">
        <v>45238</v>
      </c>
      <c r="B1373" s="12">
        <v>619.42999999999995</v>
      </c>
    </row>
    <row r="1374" spans="1:2" x14ac:dyDescent="0.3">
      <c r="A1374" s="3">
        <v>45239</v>
      </c>
      <c r="B1374" s="4">
        <v>617.55999999999995</v>
      </c>
    </row>
    <row r="1375" spans="1:2" x14ac:dyDescent="0.3">
      <c r="A1375" s="11">
        <v>45240</v>
      </c>
      <c r="B1375" s="12">
        <v>617.9</v>
      </c>
    </row>
    <row r="1376" spans="1:2" x14ac:dyDescent="0.3">
      <c r="A1376" s="3">
        <v>45243</v>
      </c>
      <c r="B1376" s="4">
        <v>620.14</v>
      </c>
    </row>
    <row r="1377" spans="1:2" x14ac:dyDescent="0.3">
      <c r="A1377" s="11">
        <v>45245</v>
      </c>
      <c r="B1377" s="12">
        <v>625.95000000000005</v>
      </c>
    </row>
    <row r="1378" spans="1:2" x14ac:dyDescent="0.3">
      <c r="A1378" s="3">
        <v>45246</v>
      </c>
      <c r="B1378" s="4">
        <v>629</v>
      </c>
    </row>
    <row r="1379" spans="1:2" x14ac:dyDescent="0.3">
      <c r="A1379" s="11">
        <v>45247</v>
      </c>
      <c r="B1379" s="12">
        <v>629.58000000000004</v>
      </c>
    </row>
    <row r="1380" spans="1:2" x14ac:dyDescent="0.3">
      <c r="A1380" s="3">
        <v>45250</v>
      </c>
      <c r="B1380" s="4">
        <v>629.95000000000005</v>
      </c>
    </row>
    <row r="1381" spans="1:2" x14ac:dyDescent="0.3">
      <c r="A1381" s="11">
        <v>45251</v>
      </c>
      <c r="B1381" s="12">
        <v>632.21</v>
      </c>
    </row>
    <row r="1382" spans="1:2" x14ac:dyDescent="0.3">
      <c r="A1382" s="3">
        <v>45252</v>
      </c>
      <c r="B1382" s="4">
        <v>632.89</v>
      </c>
    </row>
    <row r="1383" spans="1:2" x14ac:dyDescent="0.3">
      <c r="A1383" s="11">
        <v>45253</v>
      </c>
      <c r="B1383" s="12">
        <v>634.70000000000005</v>
      </c>
    </row>
    <row r="1384" spans="1:2" x14ac:dyDescent="0.3">
      <c r="A1384" s="3">
        <v>45254</v>
      </c>
      <c r="B1384" s="4">
        <v>634.67999999999995</v>
      </c>
    </row>
    <row r="1385" spans="1:2" x14ac:dyDescent="0.3">
      <c r="A1385" s="11">
        <v>45258</v>
      </c>
      <c r="B1385" s="12">
        <v>638.03</v>
      </c>
    </row>
    <row r="1386" spans="1:2" x14ac:dyDescent="0.3">
      <c r="A1386" s="3">
        <v>45259</v>
      </c>
      <c r="B1386" s="4">
        <v>643.08000000000004</v>
      </c>
    </row>
    <row r="1387" spans="1:2" x14ac:dyDescent="0.3">
      <c r="A1387" s="11">
        <v>45260</v>
      </c>
      <c r="B1387" s="12">
        <v>645.78</v>
      </c>
    </row>
    <row r="1388" spans="1:2" x14ac:dyDescent="0.3">
      <c r="A1388" s="3">
        <v>45261</v>
      </c>
      <c r="B1388" s="4">
        <v>650.44000000000005</v>
      </c>
    </row>
    <row r="1389" spans="1:2" x14ac:dyDescent="0.3">
      <c r="A1389" s="11">
        <v>45264</v>
      </c>
      <c r="B1389" s="12">
        <v>661.99</v>
      </c>
    </row>
    <row r="1390" spans="1:2" x14ac:dyDescent="0.3">
      <c r="A1390" s="3">
        <v>45265</v>
      </c>
      <c r="B1390" s="4">
        <v>664.35</v>
      </c>
    </row>
    <row r="1391" spans="1:2" x14ac:dyDescent="0.3">
      <c r="A1391" s="11">
        <v>45266</v>
      </c>
      <c r="B1391" s="12">
        <v>666.13</v>
      </c>
    </row>
    <row r="1392" spans="1:2" x14ac:dyDescent="0.3">
      <c r="A1392" s="3">
        <v>45267</v>
      </c>
      <c r="B1392" s="4">
        <v>669.15</v>
      </c>
    </row>
    <row r="1393" spans="1:2" x14ac:dyDescent="0.3">
      <c r="A1393" s="11">
        <v>45268</v>
      </c>
      <c r="B1393" s="12">
        <v>668.58</v>
      </c>
    </row>
    <row r="1394" spans="1:2" x14ac:dyDescent="0.3">
      <c r="A1394" s="3">
        <v>45271</v>
      </c>
      <c r="B1394" s="4">
        <v>671.1</v>
      </c>
    </row>
    <row r="1395" spans="1:2" x14ac:dyDescent="0.3">
      <c r="A1395" s="11">
        <v>45272</v>
      </c>
      <c r="B1395" s="12">
        <v>668.45</v>
      </c>
    </row>
    <row r="1396" spans="1:2" x14ac:dyDescent="0.3">
      <c r="A1396" s="3">
        <v>45273</v>
      </c>
      <c r="B1396" s="4">
        <v>673.23</v>
      </c>
    </row>
    <row r="1397" spans="1:2" x14ac:dyDescent="0.3">
      <c r="A1397" s="11">
        <v>45274</v>
      </c>
      <c r="B1397" s="12">
        <v>679.96</v>
      </c>
    </row>
    <row r="1398" spans="1:2" x14ac:dyDescent="0.3">
      <c r="A1398" s="3">
        <v>45275</v>
      </c>
      <c r="B1398" s="4">
        <v>684.23</v>
      </c>
    </row>
    <row r="1399" spans="1:2" x14ac:dyDescent="0.3">
      <c r="A1399" s="11">
        <v>45278</v>
      </c>
      <c r="B1399" s="12">
        <v>686.61</v>
      </c>
    </row>
    <row r="1400" spans="1:2" x14ac:dyDescent="0.3">
      <c r="A1400" s="3">
        <v>45279</v>
      </c>
      <c r="B1400" s="4">
        <v>687.71</v>
      </c>
    </row>
    <row r="1401" spans="1:2" x14ac:dyDescent="0.3">
      <c r="A1401" s="11">
        <v>45280</v>
      </c>
      <c r="B1401" s="12">
        <v>673.7</v>
      </c>
    </row>
    <row r="1402" spans="1:2" x14ac:dyDescent="0.3">
      <c r="A1402" s="3">
        <v>45281</v>
      </c>
      <c r="B1402" s="4">
        <v>680.66</v>
      </c>
    </row>
    <row r="1403" spans="1:2" x14ac:dyDescent="0.3">
      <c r="A1403" s="11">
        <v>45282</v>
      </c>
      <c r="B1403" s="12">
        <v>684.74</v>
      </c>
    </row>
    <row r="1404" spans="1:2" x14ac:dyDescent="0.3">
      <c r="A1404" s="3">
        <v>45286</v>
      </c>
      <c r="B1404" s="4">
        <v>687.42</v>
      </c>
    </row>
    <row r="1405" spans="1:2" x14ac:dyDescent="0.3">
      <c r="A1405" s="11">
        <v>45287</v>
      </c>
      <c r="B1405" s="12">
        <v>690.5</v>
      </c>
    </row>
    <row r="1406" spans="1:2" x14ac:dyDescent="0.3">
      <c r="A1406" s="3">
        <v>45288</v>
      </c>
      <c r="B1406" s="4">
        <v>694.39</v>
      </c>
    </row>
    <row r="1407" spans="1:2" x14ac:dyDescent="0.3">
      <c r="A1407" s="11">
        <v>45289</v>
      </c>
      <c r="B1407" s="12">
        <v>696.06</v>
      </c>
    </row>
    <row r="1408" spans="1:2" x14ac:dyDescent="0.3">
      <c r="A1408" s="3">
        <v>45292</v>
      </c>
      <c r="B1408" s="4">
        <v>699.72</v>
      </c>
    </row>
    <row r="1409" spans="1:2" x14ac:dyDescent="0.3">
      <c r="A1409" s="11">
        <v>45293</v>
      </c>
      <c r="B1409" s="12">
        <v>699.39</v>
      </c>
    </row>
    <row r="1410" spans="1:2" x14ac:dyDescent="0.3">
      <c r="A1410" s="3">
        <v>45294</v>
      </c>
      <c r="B1410" s="4">
        <v>698.97</v>
      </c>
    </row>
    <row r="1411" spans="1:2" x14ac:dyDescent="0.3">
      <c r="A1411" s="11">
        <v>45295</v>
      </c>
      <c r="B1411" s="12">
        <v>703.7</v>
      </c>
    </row>
    <row r="1412" spans="1:2" x14ac:dyDescent="0.3">
      <c r="A1412" s="3">
        <v>45296</v>
      </c>
      <c r="B1412" s="4">
        <v>705.23</v>
      </c>
    </row>
    <row r="1413" spans="1:2" x14ac:dyDescent="0.3">
      <c r="A1413" s="11">
        <v>45299</v>
      </c>
      <c r="B1413" s="12">
        <v>699.18</v>
      </c>
    </row>
    <row r="1414" spans="1:2" x14ac:dyDescent="0.3">
      <c r="A1414" s="3">
        <v>45300</v>
      </c>
      <c r="B1414" s="4">
        <v>700.77</v>
      </c>
    </row>
    <row r="1415" spans="1:2" x14ac:dyDescent="0.3">
      <c r="A1415" s="11">
        <v>45301</v>
      </c>
      <c r="B1415" s="12">
        <v>700.72</v>
      </c>
    </row>
    <row r="1416" spans="1:2" x14ac:dyDescent="0.3">
      <c r="A1416" s="3">
        <v>45302</v>
      </c>
      <c r="B1416" s="4">
        <v>704.28</v>
      </c>
    </row>
    <row r="1417" spans="1:2" x14ac:dyDescent="0.3">
      <c r="A1417" s="11">
        <v>45303</v>
      </c>
      <c r="B1417" s="12">
        <v>708.9</v>
      </c>
    </row>
    <row r="1418" spans="1:2" x14ac:dyDescent="0.3">
      <c r="A1418" s="3">
        <v>45306</v>
      </c>
      <c r="B1418" s="4">
        <v>714</v>
      </c>
    </row>
    <row r="1419" spans="1:2" x14ac:dyDescent="0.3">
      <c r="A1419" s="11">
        <v>45307</v>
      </c>
      <c r="B1419" s="12">
        <v>710.96</v>
      </c>
    </row>
    <row r="1420" spans="1:2" x14ac:dyDescent="0.3">
      <c r="A1420" s="3">
        <v>45308</v>
      </c>
      <c r="B1420" s="4">
        <v>702.56</v>
      </c>
    </row>
    <row r="1421" spans="1:2" x14ac:dyDescent="0.3">
      <c r="A1421" s="11">
        <v>45309</v>
      </c>
      <c r="B1421" s="12">
        <v>702.49</v>
      </c>
    </row>
    <row r="1422" spans="1:2" x14ac:dyDescent="0.3">
      <c r="A1422" s="3">
        <v>45310</v>
      </c>
      <c r="B1422" s="4">
        <v>710.27</v>
      </c>
    </row>
    <row r="1423" spans="1:2" x14ac:dyDescent="0.3">
      <c r="A1423" s="11">
        <v>45314</v>
      </c>
      <c r="B1423" s="12">
        <v>697.38</v>
      </c>
    </row>
    <row r="1424" spans="1:2" x14ac:dyDescent="0.3">
      <c r="A1424" s="3">
        <v>45315</v>
      </c>
      <c r="B1424" s="4">
        <v>705.7</v>
      </c>
    </row>
    <row r="1425" spans="1:2" x14ac:dyDescent="0.3">
      <c r="A1425" s="11">
        <v>45316</v>
      </c>
      <c r="B1425" s="12">
        <v>704.47</v>
      </c>
    </row>
    <row r="1426" spans="1:2" x14ac:dyDescent="0.3">
      <c r="A1426" s="3">
        <v>45320</v>
      </c>
      <c r="B1426" s="4">
        <v>714.07</v>
      </c>
    </row>
    <row r="1427" spans="1:2" x14ac:dyDescent="0.3">
      <c r="A1427" s="11">
        <v>45321</v>
      </c>
      <c r="B1427" s="12">
        <v>710.84</v>
      </c>
    </row>
    <row r="1428" spans="1:2" x14ac:dyDescent="0.3">
      <c r="A1428" s="3">
        <v>45322</v>
      </c>
      <c r="B1428" s="4">
        <v>719.07</v>
      </c>
    </row>
    <row r="1429" spans="1:2" x14ac:dyDescent="0.3">
      <c r="A1429" s="11">
        <v>45323</v>
      </c>
      <c r="B1429" s="12">
        <v>717.71</v>
      </c>
    </row>
    <row r="1430" spans="1:2" x14ac:dyDescent="0.3">
      <c r="A1430" s="3">
        <v>45324</v>
      </c>
      <c r="B1430" s="4">
        <v>724.08</v>
      </c>
    </row>
    <row r="1431" spans="1:2" x14ac:dyDescent="0.3">
      <c r="A1431" s="11">
        <v>45327</v>
      </c>
      <c r="B1431" s="12">
        <v>722.79</v>
      </c>
    </row>
    <row r="1432" spans="1:2" x14ac:dyDescent="0.3">
      <c r="A1432" s="3">
        <v>45328</v>
      </c>
      <c r="B1432" s="4">
        <v>730.96</v>
      </c>
    </row>
    <row r="1433" spans="1:2" x14ac:dyDescent="0.3">
      <c r="A1433" s="11">
        <v>45329</v>
      </c>
      <c r="B1433" s="12">
        <v>733.56</v>
      </c>
    </row>
    <row r="1434" spans="1:2" x14ac:dyDescent="0.3">
      <c r="A1434" s="3">
        <v>45330</v>
      </c>
      <c r="B1434" s="4">
        <v>731.58</v>
      </c>
    </row>
    <row r="1435" spans="1:2" x14ac:dyDescent="0.3">
      <c r="A1435" s="11">
        <v>45331</v>
      </c>
      <c r="B1435" s="12">
        <v>731.19</v>
      </c>
    </row>
    <row r="1436" spans="1:2" x14ac:dyDescent="0.3">
      <c r="A1436" s="3">
        <v>45334</v>
      </c>
      <c r="B1436" s="4">
        <v>720.08</v>
      </c>
    </row>
    <row r="1437" spans="1:2" x14ac:dyDescent="0.3">
      <c r="A1437" s="11">
        <v>45335</v>
      </c>
      <c r="B1437" s="12">
        <v>722.91</v>
      </c>
    </row>
    <row r="1438" spans="1:2" x14ac:dyDescent="0.3">
      <c r="A1438" s="3">
        <v>45336</v>
      </c>
      <c r="B1438" s="4">
        <v>728.6</v>
      </c>
    </row>
    <row r="1439" spans="1:2" x14ac:dyDescent="0.3">
      <c r="A1439" s="11">
        <v>45337</v>
      </c>
      <c r="B1439" s="12">
        <v>735.59</v>
      </c>
    </row>
    <row r="1440" spans="1:2" x14ac:dyDescent="0.3">
      <c r="A1440" s="3">
        <v>45338</v>
      </c>
      <c r="B1440" s="4">
        <v>741.66</v>
      </c>
    </row>
    <row r="1441" spans="1:2" x14ac:dyDescent="0.3">
      <c r="A1441" s="11">
        <v>45341</v>
      </c>
      <c r="B1441" s="12">
        <v>747.34</v>
      </c>
    </row>
    <row r="1442" spans="1:2" x14ac:dyDescent="0.3">
      <c r="A1442" s="3">
        <v>45342</v>
      </c>
      <c r="B1442" s="4">
        <v>746.43</v>
      </c>
    </row>
    <row r="1443" spans="1:2" x14ac:dyDescent="0.3">
      <c r="A1443" s="11">
        <v>45343</v>
      </c>
      <c r="B1443" s="12">
        <v>740.63</v>
      </c>
    </row>
    <row r="1444" spans="1:2" x14ac:dyDescent="0.3">
      <c r="A1444" s="3">
        <v>45344</v>
      </c>
      <c r="B1444" s="4">
        <v>746.36</v>
      </c>
    </row>
    <row r="1445" spans="1:2" x14ac:dyDescent="0.3">
      <c r="A1445" s="11">
        <v>45345</v>
      </c>
      <c r="B1445" s="12">
        <v>746.82</v>
      </c>
    </row>
    <row r="1446" spans="1:2" x14ac:dyDescent="0.3">
      <c r="A1446" s="3">
        <v>45348</v>
      </c>
      <c r="B1446" s="4">
        <v>743.84</v>
      </c>
    </row>
    <row r="1447" spans="1:2" x14ac:dyDescent="0.3">
      <c r="A1447" s="11">
        <v>45349</v>
      </c>
      <c r="B1447" s="12">
        <v>745.96</v>
      </c>
    </row>
    <row r="1448" spans="1:2" x14ac:dyDescent="0.3">
      <c r="A1448" s="3">
        <v>45350</v>
      </c>
      <c r="B1448" s="4">
        <v>735.85</v>
      </c>
    </row>
    <row r="1449" spans="1:2" x14ac:dyDescent="0.3">
      <c r="A1449" s="11">
        <v>45351</v>
      </c>
      <c r="B1449" s="12">
        <v>737.46</v>
      </c>
    </row>
    <row r="1450" spans="1:2" x14ac:dyDescent="0.3">
      <c r="A1450" s="3">
        <v>45352</v>
      </c>
      <c r="B1450" s="4">
        <v>744.82</v>
      </c>
    </row>
    <row r="1451" spans="1:2" x14ac:dyDescent="0.3">
      <c r="A1451" s="11">
        <v>45355</v>
      </c>
      <c r="B1451" s="12">
        <v>747.09</v>
      </c>
    </row>
    <row r="1452" spans="1:2" x14ac:dyDescent="0.3">
      <c r="A1452" s="3">
        <v>45356</v>
      </c>
      <c r="B1452" s="4">
        <v>746.94</v>
      </c>
    </row>
    <row r="1453" spans="1:2" x14ac:dyDescent="0.3">
      <c r="A1453" s="11">
        <v>45357</v>
      </c>
      <c r="B1453" s="12">
        <v>745.14</v>
      </c>
    </row>
    <row r="1454" spans="1:2" x14ac:dyDescent="0.3">
      <c r="A1454" s="3">
        <v>45358</v>
      </c>
      <c r="B1454" s="4">
        <v>746.8</v>
      </c>
    </row>
    <row r="1455" spans="1:2" x14ac:dyDescent="0.3">
      <c r="A1455" s="11">
        <v>45362</v>
      </c>
      <c r="B1455" s="12">
        <v>741.33</v>
      </c>
    </row>
    <row r="1456" spans="1:2" x14ac:dyDescent="0.3">
      <c r="A1456" s="3">
        <v>45363</v>
      </c>
      <c r="B1456" s="4">
        <v>737.93</v>
      </c>
    </row>
    <row r="1457" spans="1:2" x14ac:dyDescent="0.3">
      <c r="A1457" s="11">
        <v>45364</v>
      </c>
      <c r="B1457" s="12">
        <v>718.67</v>
      </c>
    </row>
    <row r="1458" spans="1:2" x14ac:dyDescent="0.3">
      <c r="A1458" s="3">
        <v>45365</v>
      </c>
      <c r="B1458" s="4">
        <v>728.97</v>
      </c>
    </row>
    <row r="1459" spans="1:2" x14ac:dyDescent="0.3">
      <c r="A1459" s="11">
        <v>45366</v>
      </c>
      <c r="B1459" s="12">
        <v>727.03</v>
      </c>
    </row>
    <row r="1460" spans="1:2" x14ac:dyDescent="0.3">
      <c r="A1460" s="3">
        <v>45369</v>
      </c>
      <c r="B1460" s="4">
        <v>727.29</v>
      </c>
    </row>
    <row r="1461" spans="1:2" x14ac:dyDescent="0.3">
      <c r="A1461" s="11">
        <v>45370</v>
      </c>
      <c r="B1461" s="12">
        <v>721.44</v>
      </c>
    </row>
    <row r="1462" spans="1:2" x14ac:dyDescent="0.3">
      <c r="A1462" s="3">
        <v>45371</v>
      </c>
      <c r="B1462" s="4">
        <v>722.18</v>
      </c>
    </row>
    <row r="1463" spans="1:2" x14ac:dyDescent="0.3">
      <c r="A1463" s="11">
        <v>45372</v>
      </c>
      <c r="B1463" s="12">
        <v>731.91</v>
      </c>
    </row>
    <row r="1464" spans="1:2" x14ac:dyDescent="0.3">
      <c r="A1464" s="3">
        <v>45373</v>
      </c>
      <c r="B1464" s="4">
        <v>737.2</v>
      </c>
    </row>
    <row r="1465" spans="1:2" x14ac:dyDescent="0.3">
      <c r="A1465" s="11">
        <v>45377</v>
      </c>
      <c r="B1465" s="12">
        <v>737.99</v>
      </c>
    </row>
    <row r="1466" spans="1:2" x14ac:dyDescent="0.3">
      <c r="A1466" s="3">
        <v>45378</v>
      </c>
      <c r="B1466" s="4">
        <v>741.08</v>
      </c>
    </row>
    <row r="1467" spans="1:2" x14ac:dyDescent="0.3">
      <c r="A1467" s="11">
        <v>45379</v>
      </c>
      <c r="B1467" s="12">
        <v>743.45</v>
      </c>
    </row>
    <row r="1468" spans="1:2" x14ac:dyDescent="0.3">
      <c r="A1468" s="3">
        <v>45382</v>
      </c>
      <c r="B1468" s="4">
        <v>743.42</v>
      </c>
    </row>
    <row r="1469" spans="1:2" x14ac:dyDescent="0.3">
      <c r="A1469" s="11">
        <v>45383</v>
      </c>
      <c r="B1469" s="12">
        <v>752.11</v>
      </c>
    </row>
    <row r="1470" spans="1:2" x14ac:dyDescent="0.3">
      <c r="A1470" s="3">
        <v>45384</v>
      </c>
      <c r="B1470" s="4">
        <v>756.68</v>
      </c>
    </row>
    <row r="1471" spans="1:2" x14ac:dyDescent="0.3">
      <c r="A1471" s="11">
        <v>45385</v>
      </c>
      <c r="B1471" s="12">
        <v>759.28</v>
      </c>
    </row>
    <row r="1472" spans="1:2" x14ac:dyDescent="0.3">
      <c r="A1472" s="3">
        <v>45386</v>
      </c>
      <c r="B1472" s="4">
        <v>761.05</v>
      </c>
    </row>
    <row r="1473" spans="1:2" x14ac:dyDescent="0.3">
      <c r="A1473" s="11">
        <v>45387</v>
      </c>
      <c r="B1473" s="12">
        <v>762.41</v>
      </c>
    </row>
    <row r="1474" spans="1:2" x14ac:dyDescent="0.3">
      <c r="A1474" s="3">
        <v>45390</v>
      </c>
      <c r="B1474" s="4">
        <v>765.65</v>
      </c>
    </row>
    <row r="1475" spans="1:2" x14ac:dyDescent="0.3">
      <c r="A1475" s="11">
        <v>45391</v>
      </c>
      <c r="B1475" s="12">
        <v>764.83</v>
      </c>
    </row>
    <row r="1476" spans="1:2" x14ac:dyDescent="0.3">
      <c r="A1476" s="3">
        <v>45392</v>
      </c>
      <c r="B1476" s="4">
        <v>769.39</v>
      </c>
    </row>
    <row r="1477" spans="1:2" x14ac:dyDescent="0.3">
      <c r="A1477" s="11">
        <v>45394</v>
      </c>
      <c r="B1477" s="12">
        <v>764.73</v>
      </c>
    </row>
    <row r="1478" spans="1:2" x14ac:dyDescent="0.3">
      <c r="A1478" s="3">
        <v>45397</v>
      </c>
      <c r="B1478" s="4">
        <v>757</v>
      </c>
    </row>
    <row r="1479" spans="1:2" x14ac:dyDescent="0.3">
      <c r="A1479" s="11">
        <v>45398</v>
      </c>
      <c r="B1479" s="12">
        <v>755.43</v>
      </c>
    </row>
    <row r="1480" spans="1:2" x14ac:dyDescent="0.3">
      <c r="A1480" s="3">
        <v>45400</v>
      </c>
      <c r="B1480" s="4">
        <v>753.3</v>
      </c>
    </row>
    <row r="1481" spans="1:2" x14ac:dyDescent="0.3">
      <c r="A1481" s="11">
        <v>45401</v>
      </c>
      <c r="B1481" s="12">
        <v>753.73</v>
      </c>
    </row>
    <row r="1482" spans="1:2" x14ac:dyDescent="0.3">
      <c r="A1482" s="3">
        <v>45404</v>
      </c>
      <c r="B1482" s="4">
        <v>759.96</v>
      </c>
    </row>
    <row r="1483" spans="1:2" x14ac:dyDescent="0.3">
      <c r="A1483" s="11">
        <v>45405</v>
      </c>
      <c r="B1483" s="12">
        <v>762.33</v>
      </c>
    </row>
    <row r="1484" spans="1:2" x14ac:dyDescent="0.3">
      <c r="A1484" s="3">
        <v>45406</v>
      </c>
      <c r="B1484" s="4">
        <v>765.12</v>
      </c>
    </row>
    <row r="1485" spans="1:2" x14ac:dyDescent="0.3">
      <c r="A1485" s="11">
        <v>45407</v>
      </c>
      <c r="B1485" s="12">
        <v>769.75</v>
      </c>
    </row>
    <row r="1486" spans="1:2" x14ac:dyDescent="0.3">
      <c r="A1486" s="3">
        <v>45408</v>
      </c>
      <c r="B1486" s="4">
        <v>769.68</v>
      </c>
    </row>
    <row r="1487" spans="1:2" x14ac:dyDescent="0.3">
      <c r="A1487" s="11">
        <v>45411</v>
      </c>
      <c r="B1487" s="12">
        <v>772.63</v>
      </c>
    </row>
    <row r="1488" spans="1:2" x14ac:dyDescent="0.3">
      <c r="A1488" s="3">
        <v>45412</v>
      </c>
      <c r="B1488" s="4">
        <v>772.72</v>
      </c>
    </row>
    <row r="1489" spans="1:2" x14ac:dyDescent="0.3">
      <c r="A1489" s="11">
        <v>45414</v>
      </c>
      <c r="B1489" s="12">
        <v>774.96</v>
      </c>
    </row>
    <row r="1490" spans="1:2" x14ac:dyDescent="0.3">
      <c r="A1490" s="3">
        <v>45415</v>
      </c>
      <c r="B1490" s="4">
        <v>770.72</v>
      </c>
    </row>
    <row r="1491" spans="1:2" x14ac:dyDescent="0.3">
      <c r="A1491" s="11">
        <v>45418</v>
      </c>
      <c r="B1491" s="12">
        <v>769.33</v>
      </c>
    </row>
    <row r="1492" spans="1:2" x14ac:dyDescent="0.3">
      <c r="A1492" s="3">
        <v>45419</v>
      </c>
      <c r="B1492" s="4">
        <v>763.29</v>
      </c>
    </row>
    <row r="1493" spans="1:2" x14ac:dyDescent="0.3">
      <c r="A1493" s="11">
        <v>45420</v>
      </c>
      <c r="B1493" s="12">
        <v>766.62</v>
      </c>
    </row>
    <row r="1494" spans="1:2" x14ac:dyDescent="0.3">
      <c r="A1494" s="3">
        <v>45421</v>
      </c>
      <c r="B1494" s="4">
        <v>755.11</v>
      </c>
    </row>
    <row r="1495" spans="1:2" x14ac:dyDescent="0.3">
      <c r="A1495" s="11">
        <v>45422</v>
      </c>
      <c r="B1495" s="12">
        <v>759.32</v>
      </c>
    </row>
    <row r="1496" spans="1:2" x14ac:dyDescent="0.3">
      <c r="A1496" s="3">
        <v>45425</v>
      </c>
      <c r="B1496" s="4">
        <v>762.6</v>
      </c>
    </row>
    <row r="1497" spans="1:2" x14ac:dyDescent="0.3">
      <c r="A1497" s="11">
        <v>45426</v>
      </c>
      <c r="B1497" s="12">
        <v>767.55</v>
      </c>
    </row>
    <row r="1498" spans="1:2" x14ac:dyDescent="0.3">
      <c r="A1498" s="3">
        <v>45427</v>
      </c>
      <c r="B1498" s="4">
        <v>770.25</v>
      </c>
    </row>
    <row r="1499" spans="1:2" x14ac:dyDescent="0.3">
      <c r="A1499" s="11">
        <v>45428</v>
      </c>
      <c r="B1499" s="12">
        <v>778.48</v>
      </c>
    </row>
    <row r="1500" spans="1:2" x14ac:dyDescent="0.3">
      <c r="A1500" s="3">
        <v>45429</v>
      </c>
      <c r="B1500" s="4">
        <v>783.8</v>
      </c>
    </row>
    <row r="1501" spans="1:2" x14ac:dyDescent="0.3">
      <c r="A1501" s="11">
        <v>45433</v>
      </c>
      <c r="B1501" s="12">
        <v>784.95</v>
      </c>
    </row>
    <row r="1502" spans="1:2" x14ac:dyDescent="0.3">
      <c r="A1502" s="3">
        <v>45434</v>
      </c>
      <c r="B1502" s="4">
        <v>786.44</v>
      </c>
    </row>
    <row r="1503" spans="1:2" x14ac:dyDescent="0.3">
      <c r="A1503" s="11">
        <v>45435</v>
      </c>
      <c r="B1503" s="12">
        <v>791.7</v>
      </c>
    </row>
    <row r="1504" spans="1:2" x14ac:dyDescent="0.3">
      <c r="A1504" s="3">
        <v>45436</v>
      </c>
      <c r="B1504" s="4">
        <v>791.79</v>
      </c>
    </row>
    <row r="1505" spans="1:2" x14ac:dyDescent="0.3">
      <c r="A1505" s="11">
        <v>45439</v>
      </c>
      <c r="B1505" s="12">
        <v>791.37</v>
      </c>
    </row>
    <row r="1506" spans="1:2" x14ac:dyDescent="0.3">
      <c r="A1506" s="3">
        <v>45440</v>
      </c>
      <c r="B1506" s="4">
        <v>788.56</v>
      </c>
    </row>
    <row r="1507" spans="1:2" x14ac:dyDescent="0.3">
      <c r="A1507" s="11">
        <v>45441</v>
      </c>
      <c r="B1507" s="12">
        <v>784.16</v>
      </c>
    </row>
    <row r="1508" spans="1:2" x14ac:dyDescent="0.3">
      <c r="A1508" s="3">
        <v>45442</v>
      </c>
      <c r="B1508" s="4">
        <v>776.31</v>
      </c>
    </row>
    <row r="1509" spans="1:2" x14ac:dyDescent="0.3">
      <c r="A1509" s="11">
        <v>45443</v>
      </c>
      <c r="B1509" s="12">
        <v>775.73</v>
      </c>
    </row>
    <row r="1510" spans="1:2" x14ac:dyDescent="0.3">
      <c r="A1510" s="3">
        <v>45446</v>
      </c>
      <c r="B1510" s="4">
        <v>791.91</v>
      </c>
    </row>
    <row r="1511" spans="1:2" x14ac:dyDescent="0.3">
      <c r="A1511" s="11">
        <v>45447</v>
      </c>
      <c r="B1511" s="12">
        <v>754.58</v>
      </c>
    </row>
    <row r="1512" spans="1:2" x14ac:dyDescent="0.3">
      <c r="A1512" s="3">
        <v>45448</v>
      </c>
      <c r="B1512" s="4">
        <v>779.23</v>
      </c>
    </row>
    <row r="1513" spans="1:2" x14ac:dyDescent="0.3">
      <c r="A1513" s="11">
        <v>45449</v>
      </c>
      <c r="B1513" s="12">
        <v>790.14</v>
      </c>
    </row>
    <row r="1514" spans="1:2" x14ac:dyDescent="0.3">
      <c r="A1514" s="3">
        <v>45450</v>
      </c>
      <c r="B1514" s="4">
        <v>802.79</v>
      </c>
    </row>
    <row r="1515" spans="1:2" x14ac:dyDescent="0.3">
      <c r="A1515" s="11">
        <v>45453</v>
      </c>
      <c r="B1515" s="12">
        <v>806.76</v>
      </c>
    </row>
    <row r="1516" spans="1:2" x14ac:dyDescent="0.3">
      <c r="A1516" s="3">
        <v>45454</v>
      </c>
      <c r="B1516" s="4">
        <v>809.99</v>
      </c>
    </row>
    <row r="1517" spans="1:2" x14ac:dyDescent="0.3">
      <c r="A1517" s="11">
        <v>45455</v>
      </c>
      <c r="B1517" s="12">
        <v>814.13</v>
      </c>
    </row>
    <row r="1518" spans="1:2" x14ac:dyDescent="0.3">
      <c r="A1518" s="3">
        <v>45456</v>
      </c>
      <c r="B1518" s="4">
        <v>816.31</v>
      </c>
    </row>
    <row r="1519" spans="1:2" x14ac:dyDescent="0.3">
      <c r="A1519" s="11">
        <v>45457</v>
      </c>
      <c r="B1519" s="12">
        <v>819.59</v>
      </c>
    </row>
    <row r="1520" spans="1:2" x14ac:dyDescent="0.3">
      <c r="A1520" s="3">
        <v>45461</v>
      </c>
      <c r="B1520" s="4">
        <v>822.44</v>
      </c>
    </row>
    <row r="1521" spans="1:2" x14ac:dyDescent="0.3">
      <c r="A1521" s="11">
        <v>45462</v>
      </c>
      <c r="B1521" s="12">
        <v>819.08</v>
      </c>
    </row>
    <row r="1522" spans="1:2" x14ac:dyDescent="0.3">
      <c r="A1522" s="3">
        <v>45463</v>
      </c>
      <c r="B1522" s="4">
        <v>823.21</v>
      </c>
    </row>
    <row r="1523" spans="1:2" x14ac:dyDescent="0.3">
      <c r="A1523" s="11">
        <v>45464</v>
      </c>
      <c r="B1523" s="12">
        <v>821.9</v>
      </c>
    </row>
    <row r="1524" spans="1:2" x14ac:dyDescent="0.3">
      <c r="A1524" s="3">
        <v>45467</v>
      </c>
      <c r="B1524" s="4">
        <v>823.68</v>
      </c>
    </row>
    <row r="1525" spans="1:2" x14ac:dyDescent="0.3">
      <c r="A1525" s="11">
        <v>45468</v>
      </c>
      <c r="B1525" s="12">
        <v>825.82</v>
      </c>
    </row>
    <row r="1526" spans="1:2" x14ac:dyDescent="0.3">
      <c r="A1526" s="3">
        <v>45469</v>
      </c>
      <c r="B1526" s="4">
        <v>829.43</v>
      </c>
    </row>
    <row r="1527" spans="1:2" x14ac:dyDescent="0.3">
      <c r="A1527" s="11">
        <v>45470</v>
      </c>
      <c r="B1527" s="12">
        <v>830.04</v>
      </c>
    </row>
    <row r="1528" spans="1:2" x14ac:dyDescent="0.3">
      <c r="A1528" s="3">
        <v>45471</v>
      </c>
      <c r="B1528" s="4">
        <v>830.92</v>
      </c>
    </row>
    <row r="1529" spans="1:2" x14ac:dyDescent="0.3">
      <c r="A1529" s="11">
        <v>45474</v>
      </c>
      <c r="B1529" s="12">
        <v>836.94</v>
      </c>
    </row>
    <row r="1530" spans="1:2" x14ac:dyDescent="0.3">
      <c r="A1530" s="3">
        <v>45475</v>
      </c>
      <c r="B1530" s="4">
        <v>836.69</v>
      </c>
    </row>
    <row r="1531" spans="1:2" x14ac:dyDescent="0.3">
      <c r="A1531" s="11">
        <v>45476</v>
      </c>
      <c r="B1531" s="12">
        <v>841.33</v>
      </c>
    </row>
    <row r="1532" spans="1:2" x14ac:dyDescent="0.3">
      <c r="A1532" s="3">
        <v>45477</v>
      </c>
      <c r="B1532" s="4">
        <v>845.03</v>
      </c>
    </row>
    <row r="1533" spans="1:2" x14ac:dyDescent="0.3">
      <c r="A1533" s="11">
        <v>45478</v>
      </c>
      <c r="B1533" s="12">
        <v>849.15</v>
      </c>
    </row>
    <row r="1534" spans="1:2" x14ac:dyDescent="0.3">
      <c r="A1534" s="3">
        <v>45481</v>
      </c>
      <c r="B1534" s="4">
        <v>848.35</v>
      </c>
    </row>
    <row r="1535" spans="1:2" x14ac:dyDescent="0.3">
      <c r="A1535" s="11">
        <v>45482</v>
      </c>
      <c r="B1535" s="12">
        <v>853.4</v>
      </c>
    </row>
    <row r="1536" spans="1:2" x14ac:dyDescent="0.3">
      <c r="A1536" s="3">
        <v>45483</v>
      </c>
      <c r="B1536" s="4">
        <v>852.94</v>
      </c>
    </row>
    <row r="1537" spans="1:2" x14ac:dyDescent="0.3">
      <c r="A1537" s="11">
        <v>45484</v>
      </c>
      <c r="B1537" s="12">
        <v>854.41</v>
      </c>
    </row>
    <row r="1538" spans="1:2" x14ac:dyDescent="0.3">
      <c r="A1538" s="3">
        <v>45485</v>
      </c>
      <c r="B1538" s="4">
        <v>858.25</v>
      </c>
    </row>
    <row r="1539" spans="1:2" x14ac:dyDescent="0.3">
      <c r="A1539" s="11">
        <v>45488</v>
      </c>
      <c r="B1539" s="12">
        <v>861.55</v>
      </c>
    </row>
    <row r="1540" spans="1:2" x14ac:dyDescent="0.3">
      <c r="A1540" s="3">
        <v>45489</v>
      </c>
      <c r="B1540" s="4">
        <v>862.58</v>
      </c>
    </row>
    <row r="1541" spans="1:2" x14ac:dyDescent="0.3">
      <c r="A1541" s="11">
        <v>45491</v>
      </c>
      <c r="B1541" s="12">
        <v>861.01</v>
      </c>
    </row>
    <row r="1542" spans="1:2" x14ac:dyDescent="0.3">
      <c r="A1542" s="3">
        <v>45492</v>
      </c>
      <c r="B1542" s="4">
        <v>849.06</v>
      </c>
    </row>
    <row r="1543" spans="1:2" x14ac:dyDescent="0.3">
      <c r="A1543" s="11">
        <v>45495</v>
      </c>
      <c r="B1543" s="12">
        <v>854.21</v>
      </c>
    </row>
    <row r="1544" spans="1:2" x14ac:dyDescent="0.3">
      <c r="A1544" s="3">
        <v>45496</v>
      </c>
      <c r="B1544" s="4">
        <v>853.6</v>
      </c>
    </row>
    <row r="1545" spans="1:2" x14ac:dyDescent="0.3">
      <c r="A1545" s="11">
        <v>45497</v>
      </c>
      <c r="B1545" s="12">
        <v>859.67</v>
      </c>
    </row>
    <row r="1546" spans="1:2" x14ac:dyDescent="0.3">
      <c r="A1546" s="3">
        <v>45498</v>
      </c>
      <c r="B1546" s="4">
        <v>861.48</v>
      </c>
    </row>
    <row r="1547" spans="1:2" x14ac:dyDescent="0.3">
      <c r="A1547" s="11">
        <v>45499</v>
      </c>
      <c r="B1547" s="12">
        <v>871.6</v>
      </c>
    </row>
    <row r="1548" spans="1:2" x14ac:dyDescent="0.3">
      <c r="A1548" s="3">
        <v>45502</v>
      </c>
      <c r="B1548" s="4">
        <v>875.42</v>
      </c>
    </row>
    <row r="1549" spans="1:2" x14ac:dyDescent="0.3">
      <c r="A1549" s="11">
        <v>45503</v>
      </c>
      <c r="B1549" s="12">
        <v>879.95</v>
      </c>
    </row>
    <row r="1550" spans="1:2" x14ac:dyDescent="0.3">
      <c r="A1550" s="3">
        <v>45504</v>
      </c>
      <c r="B1550" s="4">
        <v>883.13</v>
      </c>
    </row>
    <row r="1551" spans="1:2" x14ac:dyDescent="0.3">
      <c r="A1551" s="11">
        <v>45505</v>
      </c>
      <c r="B1551" s="12">
        <v>881.46</v>
      </c>
    </row>
    <row r="1552" spans="1:2" x14ac:dyDescent="0.3">
      <c r="A1552" s="3">
        <v>45506</v>
      </c>
      <c r="B1552" s="4">
        <v>873.81</v>
      </c>
    </row>
    <row r="1553" spans="1:2" x14ac:dyDescent="0.3">
      <c r="A1553" s="11">
        <v>45509</v>
      </c>
      <c r="B1553" s="12">
        <v>852.55</v>
      </c>
    </row>
    <row r="1554" spans="1:2" x14ac:dyDescent="0.3">
      <c r="A1554" s="3">
        <v>45510</v>
      </c>
      <c r="B1554" s="4">
        <v>850.31</v>
      </c>
    </row>
    <row r="1555" spans="1:2" x14ac:dyDescent="0.3">
      <c r="A1555" s="11">
        <v>45511</v>
      </c>
      <c r="B1555" s="12">
        <v>863.16</v>
      </c>
    </row>
    <row r="1556" spans="1:2" x14ac:dyDescent="0.3">
      <c r="A1556" s="3">
        <v>45512</v>
      </c>
      <c r="B1556" s="4">
        <v>860.37</v>
      </c>
    </row>
    <row r="1557" spans="1:2" x14ac:dyDescent="0.3">
      <c r="A1557" s="11">
        <v>45513</v>
      </c>
      <c r="B1557" s="12">
        <v>866.31</v>
      </c>
    </row>
    <row r="1558" spans="1:2" x14ac:dyDescent="0.3">
      <c r="A1558" s="3">
        <v>45516</v>
      </c>
      <c r="B1558" s="4">
        <v>867.74</v>
      </c>
    </row>
    <row r="1559" spans="1:2" x14ac:dyDescent="0.3">
      <c r="A1559" s="11">
        <v>45517</v>
      </c>
      <c r="B1559" s="12">
        <v>859.1</v>
      </c>
    </row>
    <row r="1560" spans="1:2" x14ac:dyDescent="0.3">
      <c r="A1560" s="3">
        <v>45518</v>
      </c>
      <c r="B1560" s="4">
        <v>857.15</v>
      </c>
    </row>
    <row r="1561" spans="1:2" x14ac:dyDescent="0.3">
      <c r="A1561" s="11">
        <v>45520</v>
      </c>
      <c r="B1561" s="12">
        <v>868.22</v>
      </c>
    </row>
    <row r="1562" spans="1:2" x14ac:dyDescent="0.3">
      <c r="A1562" s="3">
        <v>45523</v>
      </c>
      <c r="B1562" s="4">
        <v>869.67</v>
      </c>
    </row>
    <row r="1563" spans="1:2" x14ac:dyDescent="0.3">
      <c r="A1563" s="11">
        <v>45524</v>
      </c>
      <c r="B1563" s="12">
        <v>875.97</v>
      </c>
    </row>
    <row r="1564" spans="1:2" x14ac:dyDescent="0.3">
      <c r="A1564" s="3">
        <v>45525</v>
      </c>
      <c r="B1564" s="4">
        <v>880.77</v>
      </c>
    </row>
    <row r="1565" spans="1:2" x14ac:dyDescent="0.3">
      <c r="A1565" s="11">
        <v>45526</v>
      </c>
      <c r="B1565" s="12">
        <v>884.31</v>
      </c>
    </row>
    <row r="1566" spans="1:2" x14ac:dyDescent="0.3">
      <c r="A1566" s="3">
        <v>45527</v>
      </c>
      <c r="B1566" s="4">
        <v>883.77</v>
      </c>
    </row>
    <row r="1567" spans="1:2" x14ac:dyDescent="0.3">
      <c r="A1567" s="11">
        <v>45530</v>
      </c>
      <c r="B1567" s="12">
        <v>890.69</v>
      </c>
    </row>
    <row r="1568" spans="1:2" x14ac:dyDescent="0.3">
      <c r="A1568" s="3">
        <v>45531</v>
      </c>
      <c r="B1568" s="4">
        <v>893.5</v>
      </c>
    </row>
    <row r="1569" spans="1:2" x14ac:dyDescent="0.3">
      <c r="A1569" s="11">
        <v>45532</v>
      </c>
      <c r="B1569" s="12">
        <v>893.61</v>
      </c>
    </row>
    <row r="1570" spans="1:2" x14ac:dyDescent="0.3">
      <c r="A1570" s="3">
        <v>45533</v>
      </c>
      <c r="B1570" s="4">
        <v>893.25</v>
      </c>
    </row>
    <row r="1571" spans="1:2" x14ac:dyDescent="0.3">
      <c r="A1571" s="11">
        <v>45534</v>
      </c>
      <c r="B1571" s="12">
        <v>898.34</v>
      </c>
    </row>
    <row r="1572" spans="1:2" x14ac:dyDescent="0.3">
      <c r="A1572" s="3">
        <v>45537</v>
      </c>
      <c r="B1572" s="4">
        <v>900.17</v>
      </c>
    </row>
    <row r="1573" spans="1:2" x14ac:dyDescent="0.3">
      <c r="A1573" s="11">
        <v>45538</v>
      </c>
      <c r="B1573" s="12">
        <v>903.8</v>
      </c>
    </row>
    <row r="1574" spans="1:2" x14ac:dyDescent="0.3">
      <c r="A1574" s="3">
        <v>45539</v>
      </c>
      <c r="B1574" s="4">
        <v>903.96</v>
      </c>
    </row>
    <row r="1575" spans="1:2" x14ac:dyDescent="0.3">
      <c r="A1575" s="11">
        <v>45540</v>
      </c>
      <c r="B1575" s="12">
        <v>906.5</v>
      </c>
    </row>
    <row r="1576" spans="1:2" x14ac:dyDescent="0.3">
      <c r="A1576" s="3">
        <v>45541</v>
      </c>
      <c r="B1576" s="4">
        <v>898.48</v>
      </c>
    </row>
    <row r="1577" spans="1:2" x14ac:dyDescent="0.3">
      <c r="A1577" s="11">
        <v>45544</v>
      </c>
      <c r="B1577" s="12">
        <v>897.91</v>
      </c>
    </row>
    <row r="1578" spans="1:2" x14ac:dyDescent="0.3">
      <c r="A1578" s="3">
        <v>45545</v>
      </c>
      <c r="B1578" s="4">
        <v>903.37</v>
      </c>
    </row>
    <row r="1579" spans="1:2" x14ac:dyDescent="0.3">
      <c r="A1579" s="11">
        <v>45546</v>
      </c>
      <c r="B1579" s="12">
        <v>898.23</v>
      </c>
    </row>
    <row r="1580" spans="1:2" x14ac:dyDescent="0.3">
      <c r="A1580" s="3">
        <v>45547</v>
      </c>
      <c r="B1580" s="4">
        <v>908.17</v>
      </c>
    </row>
    <row r="1581" spans="1:2" x14ac:dyDescent="0.3">
      <c r="A1581" s="11">
        <v>45548</v>
      </c>
      <c r="B1581" s="12">
        <v>910.91</v>
      </c>
    </row>
    <row r="1582" spans="1:2" x14ac:dyDescent="0.3">
      <c r="A1582" s="3">
        <v>45551</v>
      </c>
      <c r="B1582" s="4">
        <v>911.91</v>
      </c>
    </row>
    <row r="1583" spans="1:2" x14ac:dyDescent="0.3">
      <c r="A1583" s="11">
        <v>45552</v>
      </c>
      <c r="B1583" s="12">
        <v>910.91</v>
      </c>
    </row>
    <row r="1584" spans="1:2" x14ac:dyDescent="0.3">
      <c r="A1584" s="3">
        <v>45553</v>
      </c>
      <c r="B1584" s="4">
        <v>907.32</v>
      </c>
    </row>
    <row r="1585" spans="1:2" x14ac:dyDescent="0.3">
      <c r="A1585" s="11">
        <v>45554</v>
      </c>
      <c r="B1585" s="12">
        <v>906.31</v>
      </c>
    </row>
    <row r="1586" spans="1:2" x14ac:dyDescent="0.3">
      <c r="A1586" s="3">
        <v>45555</v>
      </c>
      <c r="B1586" s="4">
        <v>914.32</v>
      </c>
    </row>
    <row r="1587" spans="1:2" x14ac:dyDescent="0.3">
      <c r="A1587" s="11">
        <v>45558</v>
      </c>
      <c r="B1587" s="12">
        <v>919.42</v>
      </c>
    </row>
    <row r="1588" spans="1:2" x14ac:dyDescent="0.3">
      <c r="A1588" s="3">
        <v>45559</v>
      </c>
      <c r="B1588" s="4">
        <v>919.94</v>
      </c>
    </row>
    <row r="1589" spans="1:2" x14ac:dyDescent="0.3">
      <c r="A1589" s="11">
        <v>45560</v>
      </c>
      <c r="B1589" s="12">
        <v>920.87</v>
      </c>
    </row>
    <row r="1590" spans="1:2" x14ac:dyDescent="0.3">
      <c r="A1590" s="3">
        <v>45561</v>
      </c>
      <c r="B1590" s="4">
        <v>923.46</v>
      </c>
    </row>
    <row r="1591" spans="1:2" x14ac:dyDescent="0.3">
      <c r="A1591" s="11">
        <v>45562</v>
      </c>
      <c r="B1591" s="12">
        <v>924.37</v>
      </c>
    </row>
    <row r="1592" spans="1:2" x14ac:dyDescent="0.3">
      <c r="A1592" s="3">
        <v>45565</v>
      </c>
      <c r="B1592" s="4">
        <v>917.62</v>
      </c>
    </row>
    <row r="1593" spans="1:2" x14ac:dyDescent="0.3">
      <c r="A1593" s="11">
        <v>45566</v>
      </c>
      <c r="B1593" s="12">
        <v>919.05</v>
      </c>
    </row>
    <row r="1594" spans="1:2" x14ac:dyDescent="0.3">
      <c r="A1594" s="3">
        <v>45568</v>
      </c>
      <c r="B1594" s="4">
        <v>901.79</v>
      </c>
    </row>
    <row r="1595" spans="1:2" x14ac:dyDescent="0.3">
      <c r="A1595" s="11">
        <v>45569</v>
      </c>
      <c r="B1595" s="12">
        <v>894.7</v>
      </c>
    </row>
    <row r="1596" spans="1:2" x14ac:dyDescent="0.3">
      <c r="A1596" s="3">
        <v>45572</v>
      </c>
      <c r="B1596" s="4">
        <v>879.88</v>
      </c>
    </row>
    <row r="1597" spans="1:2" x14ac:dyDescent="0.3">
      <c r="A1597" s="11">
        <v>45573</v>
      </c>
      <c r="B1597" s="12">
        <v>888.78</v>
      </c>
    </row>
    <row r="1598" spans="1:2" x14ac:dyDescent="0.3">
      <c r="A1598" s="3">
        <v>45574</v>
      </c>
      <c r="B1598" s="4">
        <v>892.74</v>
      </c>
    </row>
    <row r="1599" spans="1:2" x14ac:dyDescent="0.3">
      <c r="A1599" s="11">
        <v>45575</v>
      </c>
      <c r="B1599" s="12">
        <v>892.46</v>
      </c>
    </row>
    <row r="1600" spans="1:2" x14ac:dyDescent="0.3">
      <c r="A1600" s="3">
        <v>45576</v>
      </c>
      <c r="B1600" s="4">
        <v>892.11</v>
      </c>
    </row>
    <row r="1601" spans="1:2" x14ac:dyDescent="0.3">
      <c r="A1601" s="11">
        <v>45579</v>
      </c>
      <c r="B1601" s="12">
        <v>894.95</v>
      </c>
    </row>
    <row r="1602" spans="1:2" x14ac:dyDescent="0.3">
      <c r="A1602" s="3">
        <v>45580</v>
      </c>
      <c r="B1602" s="4">
        <v>896.36</v>
      </c>
    </row>
    <row r="1603" spans="1:2" x14ac:dyDescent="0.3">
      <c r="A1603" s="11">
        <v>45581</v>
      </c>
      <c r="B1603" s="12">
        <v>896.84</v>
      </c>
    </row>
    <row r="1604" spans="1:2" x14ac:dyDescent="0.3">
      <c r="A1604" s="3">
        <v>45582</v>
      </c>
      <c r="B1604" s="4">
        <v>887.63</v>
      </c>
    </row>
    <row r="1605" spans="1:2" x14ac:dyDescent="0.3">
      <c r="A1605" s="11">
        <v>45583</v>
      </c>
      <c r="B1605" s="12">
        <v>891.81</v>
      </c>
    </row>
    <row r="1606" spans="1:2" x14ac:dyDescent="0.3">
      <c r="A1606" s="3">
        <v>45586</v>
      </c>
      <c r="B1606" s="4">
        <v>884.98</v>
      </c>
    </row>
    <row r="1607" spans="1:2" x14ac:dyDescent="0.3">
      <c r="A1607" s="11">
        <v>45587</v>
      </c>
      <c r="B1607" s="12">
        <v>870.39</v>
      </c>
    </row>
    <row r="1608" spans="1:2" x14ac:dyDescent="0.3">
      <c r="A1608" s="3">
        <v>45588</v>
      </c>
      <c r="B1608" s="4">
        <v>871.18</v>
      </c>
    </row>
    <row r="1609" spans="1:2" x14ac:dyDescent="0.3">
      <c r="A1609" s="11">
        <v>45589</v>
      </c>
      <c r="B1609" s="12">
        <v>870.15</v>
      </c>
    </row>
    <row r="1610" spans="1:2" x14ac:dyDescent="0.3">
      <c r="A1610" s="3">
        <v>45590</v>
      </c>
      <c r="B1610" s="4">
        <v>860.85</v>
      </c>
    </row>
    <row r="1611" spans="1:2" x14ac:dyDescent="0.3">
      <c r="A1611" s="11">
        <v>45593</v>
      </c>
      <c r="B1611" s="12">
        <v>866.69</v>
      </c>
    </row>
    <row r="1612" spans="1:2" x14ac:dyDescent="0.3">
      <c r="A1612" s="3">
        <v>45594</v>
      </c>
      <c r="B1612" s="4">
        <v>872.8</v>
      </c>
    </row>
    <row r="1613" spans="1:2" x14ac:dyDescent="0.3">
      <c r="A1613" s="11">
        <v>45595</v>
      </c>
      <c r="B1613" s="12">
        <v>873.71</v>
      </c>
    </row>
    <row r="1614" spans="1:2" x14ac:dyDescent="0.3">
      <c r="A1614" s="3">
        <v>45596</v>
      </c>
      <c r="B1614" s="4">
        <v>873.12</v>
      </c>
    </row>
    <row r="1615" spans="1:2" x14ac:dyDescent="0.3">
      <c r="A1615" s="11">
        <v>45600</v>
      </c>
      <c r="B1615" s="12">
        <v>866.02</v>
      </c>
    </row>
    <row r="1616" spans="1:2" x14ac:dyDescent="0.3">
      <c r="A1616" s="3">
        <v>45601</v>
      </c>
      <c r="B1616" s="4">
        <v>871.57</v>
      </c>
    </row>
    <row r="1617" spans="1:2" x14ac:dyDescent="0.3">
      <c r="A1617" s="11">
        <v>45602</v>
      </c>
      <c r="B1617" s="12">
        <v>881.76</v>
      </c>
    </row>
    <row r="1618" spans="1:2" x14ac:dyDescent="0.3">
      <c r="A1618" s="3">
        <v>45603</v>
      </c>
      <c r="B1618" s="4">
        <v>876.7</v>
      </c>
    </row>
    <row r="1619" spans="1:2" x14ac:dyDescent="0.3">
      <c r="A1619" s="11">
        <v>45604</v>
      </c>
      <c r="B1619" s="12">
        <v>868.87</v>
      </c>
    </row>
    <row r="1620" spans="1:2" x14ac:dyDescent="0.3">
      <c r="A1620" s="3">
        <v>45607</v>
      </c>
      <c r="B1620" s="4">
        <v>864.82</v>
      </c>
    </row>
    <row r="1621" spans="1:2" x14ac:dyDescent="0.3">
      <c r="A1621" s="11">
        <v>45608</v>
      </c>
      <c r="B1621" s="12">
        <v>855.93</v>
      </c>
    </row>
    <row r="1622" spans="1:2" x14ac:dyDescent="0.3">
      <c r="A1622" s="3">
        <v>45609</v>
      </c>
      <c r="B1622" s="4">
        <v>841.37</v>
      </c>
    </row>
    <row r="1623" spans="1:2" x14ac:dyDescent="0.3">
      <c r="A1623" s="11">
        <v>45610</v>
      </c>
      <c r="B1623" s="12">
        <v>842.48</v>
      </c>
    </row>
    <row r="1624" spans="1:2" x14ac:dyDescent="0.3">
      <c r="A1624" s="3">
        <v>45614</v>
      </c>
      <c r="B1624" s="4">
        <v>838.42</v>
      </c>
    </row>
    <row r="1625" spans="1:2" x14ac:dyDescent="0.3">
      <c r="A1625" s="11">
        <v>45615</v>
      </c>
      <c r="B1625" s="12">
        <v>840.76</v>
      </c>
    </row>
    <row r="1626" spans="1:2" x14ac:dyDescent="0.3">
      <c r="A1626" s="3">
        <v>45617</v>
      </c>
      <c r="B1626" s="4">
        <v>834.95</v>
      </c>
    </row>
    <row r="1627" spans="1:2" x14ac:dyDescent="0.3">
      <c r="A1627" s="11">
        <v>45618</v>
      </c>
      <c r="B1627" s="12">
        <v>846.68</v>
      </c>
    </row>
    <row r="1628" spans="1:2" x14ac:dyDescent="0.3">
      <c r="A1628" s="3">
        <v>45621</v>
      </c>
      <c r="B1628" s="4">
        <v>858.74</v>
      </c>
    </row>
    <row r="1629" spans="1:2" x14ac:dyDescent="0.3">
      <c r="A1629" s="11">
        <v>45622</v>
      </c>
      <c r="B1629" s="12">
        <v>859.41</v>
      </c>
    </row>
    <row r="1630" spans="1:2" x14ac:dyDescent="0.3">
      <c r="A1630" s="3">
        <v>45623</v>
      </c>
      <c r="B1630" s="4">
        <v>863.56</v>
      </c>
    </row>
    <row r="1631" spans="1:2" x14ac:dyDescent="0.3">
      <c r="A1631" s="11">
        <v>45624</v>
      </c>
      <c r="B1631" s="12">
        <v>858.69</v>
      </c>
    </row>
    <row r="1632" spans="1:2" x14ac:dyDescent="0.3">
      <c r="A1632" s="3">
        <v>45625</v>
      </c>
      <c r="B1632" s="4">
        <v>866.12</v>
      </c>
    </row>
    <row r="1633" spans="1:2" x14ac:dyDescent="0.3">
      <c r="A1633" s="11">
        <v>45628</v>
      </c>
      <c r="B1633" s="12">
        <v>870.86</v>
      </c>
    </row>
    <row r="1634" spans="1:2" x14ac:dyDescent="0.3">
      <c r="A1634" s="3">
        <v>45629</v>
      </c>
      <c r="B1634" s="4">
        <v>879.3</v>
      </c>
    </row>
    <row r="1635" spans="1:2" x14ac:dyDescent="0.3">
      <c r="A1635" s="11">
        <v>45630</v>
      </c>
      <c r="B1635" s="12">
        <v>882.33</v>
      </c>
    </row>
    <row r="1636" spans="1:2" x14ac:dyDescent="0.3">
      <c r="A1636" s="3">
        <v>45631</v>
      </c>
      <c r="B1636" s="4">
        <v>884.02</v>
      </c>
    </row>
    <row r="1637" spans="1:2" x14ac:dyDescent="0.3">
      <c r="A1637" s="11">
        <v>45632</v>
      </c>
      <c r="B1637" s="12">
        <v>883.74</v>
      </c>
    </row>
    <row r="1638" spans="1:2" x14ac:dyDescent="0.3">
      <c r="A1638" s="3">
        <v>45635</v>
      </c>
      <c r="B1638" s="4">
        <v>881.76</v>
      </c>
    </row>
    <row r="1639" spans="1:2" x14ac:dyDescent="0.3">
      <c r="A1639" s="11">
        <v>45636</v>
      </c>
      <c r="B1639" s="12">
        <v>885.44</v>
      </c>
    </row>
    <row r="1640" spans="1:2" x14ac:dyDescent="0.3">
      <c r="A1640" s="3">
        <v>45637</v>
      </c>
      <c r="B1640" s="4">
        <v>886.83</v>
      </c>
    </row>
    <row r="1641" spans="1:2" x14ac:dyDescent="0.3">
      <c r="A1641" s="11">
        <v>45638</v>
      </c>
      <c r="B1641" s="12">
        <v>879.72</v>
      </c>
    </row>
    <row r="1642" spans="1:2" x14ac:dyDescent="0.3">
      <c r="A1642" s="3">
        <v>45639</v>
      </c>
      <c r="B1642" s="4">
        <v>881.78</v>
      </c>
    </row>
    <row r="1643" spans="1:2" x14ac:dyDescent="0.3">
      <c r="A1643" s="11">
        <v>45642</v>
      </c>
      <c r="B1643" s="12">
        <v>883.29</v>
      </c>
    </row>
    <row r="1644" spans="1:2" x14ac:dyDescent="0.3">
      <c r="A1644" s="3">
        <v>45643</v>
      </c>
      <c r="B1644" s="4">
        <v>874.07</v>
      </c>
    </row>
    <row r="1645" spans="1:2" x14ac:dyDescent="0.3">
      <c r="A1645" s="11">
        <v>45644</v>
      </c>
      <c r="B1645" s="12">
        <v>868.27</v>
      </c>
    </row>
    <row r="1646" spans="1:2" x14ac:dyDescent="0.3">
      <c r="A1646" s="3">
        <v>45645</v>
      </c>
      <c r="B1646" s="4">
        <v>862.11</v>
      </c>
    </row>
    <row r="1647" spans="1:2" x14ac:dyDescent="0.3">
      <c r="A1647" s="11">
        <v>45646</v>
      </c>
      <c r="B1647" s="12">
        <v>847.24</v>
      </c>
    </row>
    <row r="1648" spans="1:2" x14ac:dyDescent="0.3">
      <c r="A1648" s="3">
        <v>45649</v>
      </c>
      <c r="B1648" s="4">
        <v>848.85</v>
      </c>
    </row>
    <row r="1649" spans="1:2" x14ac:dyDescent="0.3">
      <c r="A1649" s="11">
        <v>45650</v>
      </c>
      <c r="B1649" s="12">
        <v>850.58</v>
      </c>
    </row>
    <row r="1650" spans="1:2" x14ac:dyDescent="0.3">
      <c r="A1650" s="3">
        <v>45652</v>
      </c>
      <c r="B1650" s="4">
        <v>849.61</v>
      </c>
    </row>
    <row r="1651" spans="1:2" x14ac:dyDescent="0.3">
      <c r="A1651" s="11">
        <v>45653</v>
      </c>
      <c r="B1651" s="12">
        <v>850.36</v>
      </c>
    </row>
    <row r="1652" spans="1:2" x14ac:dyDescent="0.3">
      <c r="A1652" s="3">
        <v>45656</v>
      </c>
      <c r="B1652" s="4">
        <v>845.65</v>
      </c>
    </row>
    <row r="1653" spans="1:2" x14ac:dyDescent="0.3">
      <c r="A1653" s="11">
        <v>45657</v>
      </c>
      <c r="B1653" s="12">
        <v>847.05</v>
      </c>
    </row>
    <row r="1654" spans="1:2" x14ac:dyDescent="0.3">
      <c r="A1654" s="3">
        <v>45658</v>
      </c>
      <c r="B1654" s="4">
        <v>850.85</v>
      </c>
    </row>
    <row r="1655" spans="1:2" x14ac:dyDescent="0.3">
      <c r="A1655" s="11">
        <v>45659</v>
      </c>
      <c r="B1655" s="12">
        <v>860.45</v>
      </c>
    </row>
    <row r="1656" spans="1:2" x14ac:dyDescent="0.3">
      <c r="A1656" s="3">
        <v>45660</v>
      </c>
      <c r="B1656" s="4">
        <v>858.73</v>
      </c>
    </row>
    <row r="1657" spans="1:2" x14ac:dyDescent="0.3">
      <c r="A1657" s="11">
        <v>45663</v>
      </c>
      <c r="B1657" s="12">
        <v>842.95</v>
      </c>
    </row>
    <row r="1658" spans="1:2" x14ac:dyDescent="0.3">
      <c r="A1658" s="3">
        <v>45664</v>
      </c>
      <c r="B1658" s="4">
        <v>849.34</v>
      </c>
    </row>
    <row r="1659" spans="1:2" x14ac:dyDescent="0.3">
      <c r="A1659" s="11">
        <v>45665</v>
      </c>
      <c r="B1659" s="12">
        <v>845.74</v>
      </c>
    </row>
    <row r="1660" spans="1:2" x14ac:dyDescent="0.3">
      <c r="A1660" s="3">
        <v>45666</v>
      </c>
      <c r="B1660" s="4">
        <v>842.72</v>
      </c>
    </row>
    <row r="1661" spans="1:2" x14ac:dyDescent="0.3">
      <c r="A1661" s="11">
        <v>45667</v>
      </c>
      <c r="B1661" s="12">
        <v>832.55</v>
      </c>
    </row>
    <row r="1662" spans="1:2" x14ac:dyDescent="0.3">
      <c r="A1662" s="3">
        <v>45670</v>
      </c>
      <c r="B1662" s="4">
        <v>812.06</v>
      </c>
    </row>
    <row r="1663" spans="1:2" x14ac:dyDescent="0.3">
      <c r="A1663" s="11">
        <v>45671</v>
      </c>
      <c r="B1663" s="12">
        <v>821.04</v>
      </c>
    </row>
    <row r="1664" spans="1:2" x14ac:dyDescent="0.3">
      <c r="A1664" s="3">
        <v>45672</v>
      </c>
      <c r="B1664" s="4">
        <v>822.36</v>
      </c>
    </row>
    <row r="1665" spans="1:2" x14ac:dyDescent="0.3">
      <c r="A1665" s="11">
        <v>45673</v>
      </c>
      <c r="B1665" s="12">
        <v>829.97</v>
      </c>
    </row>
    <row r="1666" spans="1:2" x14ac:dyDescent="0.3">
      <c r="A1666" s="3">
        <v>45674</v>
      </c>
      <c r="B1666" s="4">
        <v>828.73</v>
      </c>
    </row>
    <row r="1667" spans="1:2" x14ac:dyDescent="0.3">
      <c r="A1667" s="11">
        <v>45677</v>
      </c>
      <c r="B1667" s="12">
        <v>831.38</v>
      </c>
    </row>
    <row r="1668" spans="1:2" x14ac:dyDescent="0.3">
      <c r="A1668" s="3">
        <v>45678</v>
      </c>
      <c r="B1668" s="4">
        <v>821.88</v>
      </c>
    </row>
    <row r="1669" spans="1:2" x14ac:dyDescent="0.3">
      <c r="A1669" s="11">
        <v>45679</v>
      </c>
      <c r="B1669" s="12">
        <v>819.67</v>
      </c>
    </row>
    <row r="1670" spans="1:2" x14ac:dyDescent="0.3">
      <c r="A1670" s="3">
        <v>45680</v>
      </c>
      <c r="B1670" s="4">
        <v>824.57</v>
      </c>
    </row>
    <row r="1671" spans="1:2" x14ac:dyDescent="0.3">
      <c r="A1671" s="11">
        <v>45681</v>
      </c>
      <c r="B1671" s="12">
        <v>815.26</v>
      </c>
    </row>
    <row r="1672" spans="1:2" x14ac:dyDescent="0.3">
      <c r="A1672" s="3">
        <v>45684</v>
      </c>
      <c r="B1672" s="4">
        <v>805.37</v>
      </c>
    </row>
    <row r="1673" spans="1:2" x14ac:dyDescent="0.3">
      <c r="A1673" s="11">
        <v>45685</v>
      </c>
      <c r="B1673" s="12">
        <v>806.23</v>
      </c>
    </row>
    <row r="1674" spans="1:2" x14ac:dyDescent="0.3">
      <c r="A1674" s="3">
        <v>45686</v>
      </c>
      <c r="B1674" s="4">
        <v>816.31</v>
      </c>
    </row>
    <row r="1675" spans="1:2" x14ac:dyDescent="0.3">
      <c r="A1675" s="11">
        <v>45687</v>
      </c>
      <c r="B1675" s="12">
        <v>819.26</v>
      </c>
    </row>
    <row r="1676" spans="1:2" x14ac:dyDescent="0.3">
      <c r="A1676" s="3">
        <v>45688</v>
      </c>
      <c r="B1676" s="4">
        <v>828.52</v>
      </c>
    </row>
    <row r="1677" spans="1:2" x14ac:dyDescent="0.3">
      <c r="A1677" s="11">
        <v>45691</v>
      </c>
      <c r="B1677" s="12">
        <v>822.15</v>
      </c>
    </row>
    <row r="1678" spans="1:2" x14ac:dyDescent="0.3">
      <c r="A1678" s="3">
        <v>45692</v>
      </c>
      <c r="B1678" s="4">
        <v>832.77</v>
      </c>
    </row>
    <row r="1679" spans="1:2" x14ac:dyDescent="0.3">
      <c r="A1679" s="11">
        <v>45693</v>
      </c>
      <c r="B1679" s="12">
        <v>835.83</v>
      </c>
    </row>
    <row r="1680" spans="1:2" x14ac:dyDescent="0.3">
      <c r="A1680" s="3">
        <v>45694</v>
      </c>
      <c r="B1680" s="4">
        <v>833.9</v>
      </c>
    </row>
    <row r="1681" spans="1:2" x14ac:dyDescent="0.3">
      <c r="A1681" s="11">
        <v>45695</v>
      </c>
      <c r="B1681" s="12">
        <v>832.25</v>
      </c>
    </row>
    <row r="1682" spans="1:2" x14ac:dyDescent="0.3">
      <c r="A1682" s="3">
        <v>45698</v>
      </c>
      <c r="B1682" s="4">
        <v>821.78</v>
      </c>
    </row>
    <row r="1683" spans="1:2" x14ac:dyDescent="0.3">
      <c r="A1683" s="11">
        <v>45699</v>
      </c>
      <c r="B1683" s="12">
        <v>807.53</v>
      </c>
    </row>
    <row r="1684" spans="1:2" x14ac:dyDescent="0.3">
      <c r="A1684" s="3">
        <v>45700</v>
      </c>
      <c r="B1684" s="4">
        <v>806.08</v>
      </c>
    </row>
    <row r="1685" spans="1:2" x14ac:dyDescent="0.3">
      <c r="A1685" s="11">
        <v>45701</v>
      </c>
      <c r="B1685" s="12">
        <v>805.45</v>
      </c>
    </row>
    <row r="1686" spans="1:2" x14ac:dyDescent="0.3">
      <c r="A1686" s="3">
        <v>45702</v>
      </c>
      <c r="B1686" s="4">
        <v>795.43</v>
      </c>
    </row>
    <row r="1687" spans="1:2" x14ac:dyDescent="0.3">
      <c r="A1687" s="11">
        <v>45705</v>
      </c>
      <c r="B1687" s="12">
        <v>796.44</v>
      </c>
    </row>
    <row r="1688" spans="1:2" x14ac:dyDescent="0.3">
      <c r="A1688" s="3">
        <v>45706</v>
      </c>
      <c r="B1688" s="4">
        <v>793.93</v>
      </c>
    </row>
    <row r="1689" spans="1:2" x14ac:dyDescent="0.3">
      <c r="A1689" s="11">
        <v>45707</v>
      </c>
      <c r="B1689" s="12">
        <v>797.96</v>
      </c>
    </row>
    <row r="1690" spans="1:2" x14ac:dyDescent="0.3">
      <c r="A1690" s="3">
        <v>45708</v>
      </c>
      <c r="B1690" s="4">
        <v>800.11</v>
      </c>
    </row>
    <row r="1691" spans="1:2" x14ac:dyDescent="0.3">
      <c r="A1691" s="11">
        <v>45709</v>
      </c>
      <c r="B1691" s="12">
        <v>796.2</v>
      </c>
    </row>
    <row r="1692" spans="1:2" x14ac:dyDescent="0.3">
      <c r="A1692" s="3">
        <v>45712</v>
      </c>
      <c r="B1692" s="4">
        <v>788.06</v>
      </c>
    </row>
    <row r="1693" spans="1:2" x14ac:dyDescent="0.3">
      <c r="A1693" s="11">
        <v>45713</v>
      </c>
      <c r="B1693" s="12">
        <v>784.53</v>
      </c>
    </row>
    <row r="1694" spans="1:2" x14ac:dyDescent="0.3">
      <c r="A1694" s="3">
        <v>45715</v>
      </c>
      <c r="B1694" s="4">
        <v>778.92</v>
      </c>
    </row>
    <row r="1695" spans="1:2" x14ac:dyDescent="0.3">
      <c r="A1695" s="11">
        <v>45716</v>
      </c>
      <c r="B1695" s="12">
        <v>764.93</v>
      </c>
    </row>
    <row r="1696" spans="1:2" x14ac:dyDescent="0.3">
      <c r="A1696" s="3">
        <v>45719</v>
      </c>
      <c r="B1696" s="4">
        <v>764.99</v>
      </c>
    </row>
    <row r="1697" spans="1:2" x14ac:dyDescent="0.3">
      <c r="A1697" s="11">
        <v>45720</v>
      </c>
      <c r="B1697" s="12">
        <v>764.94</v>
      </c>
    </row>
    <row r="1698" spans="1:2" x14ac:dyDescent="0.3">
      <c r="A1698" s="3">
        <v>45721</v>
      </c>
      <c r="B1698" s="4">
        <v>779.07</v>
      </c>
    </row>
    <row r="1699" spans="1:2" x14ac:dyDescent="0.3">
      <c r="A1699" s="11">
        <v>45722</v>
      </c>
      <c r="B1699" s="12">
        <v>787.86</v>
      </c>
    </row>
    <row r="1700" spans="1:2" x14ac:dyDescent="0.3">
      <c r="A1700" s="3">
        <v>45723</v>
      </c>
      <c r="B1700" s="4">
        <v>788.05</v>
      </c>
    </row>
    <row r="1701" spans="1:2" x14ac:dyDescent="0.3">
      <c r="A1701" s="11">
        <v>45726</v>
      </c>
      <c r="B1701" s="12">
        <v>781.64</v>
      </c>
    </row>
    <row r="1702" spans="1:2" x14ac:dyDescent="0.3">
      <c r="A1702" s="3">
        <v>45727</v>
      </c>
      <c r="B1702" s="4">
        <v>782.08</v>
      </c>
    </row>
    <row r="1703" spans="1:2" x14ac:dyDescent="0.3">
      <c r="A1703" s="11">
        <v>45728</v>
      </c>
      <c r="B1703" s="12">
        <v>778.25</v>
      </c>
    </row>
    <row r="1704" spans="1:2" x14ac:dyDescent="0.3">
      <c r="A1704" s="3">
        <v>45729</v>
      </c>
      <c r="B1704" s="4">
        <v>774.59</v>
      </c>
    </row>
    <row r="1705" spans="1:2" x14ac:dyDescent="0.3">
      <c r="A1705" s="11">
        <v>45733</v>
      </c>
      <c r="B1705" s="12">
        <v>779.15</v>
      </c>
    </row>
    <row r="1706" spans="1:2" x14ac:dyDescent="0.3">
      <c r="A1706" s="3">
        <v>45734</v>
      </c>
      <c r="B1706" s="4">
        <v>791.21</v>
      </c>
    </row>
    <row r="1707" spans="1:2" x14ac:dyDescent="0.3">
      <c r="A1707" s="11">
        <v>45735</v>
      </c>
      <c r="B1707" s="12">
        <v>799.26</v>
      </c>
    </row>
    <row r="1708" spans="1:2" x14ac:dyDescent="0.3">
      <c r="A1708" s="3">
        <v>45736</v>
      </c>
      <c r="B1708" s="4">
        <v>806.44</v>
      </c>
    </row>
    <row r="1709" spans="1:2" x14ac:dyDescent="0.3">
      <c r="A1709" s="11">
        <v>45737</v>
      </c>
      <c r="B1709" s="12">
        <v>816.1</v>
      </c>
    </row>
    <row r="1710" spans="1:2" x14ac:dyDescent="0.3">
      <c r="A1710" s="3">
        <v>45740</v>
      </c>
      <c r="B1710" s="4">
        <v>824.54</v>
      </c>
    </row>
    <row r="1711" spans="1:2" x14ac:dyDescent="0.3">
      <c r="A1711" s="11">
        <v>45741</v>
      </c>
      <c r="B1711" s="12">
        <v>820.71</v>
      </c>
    </row>
    <row r="1712" spans="1:2" x14ac:dyDescent="0.3">
      <c r="A1712" s="3">
        <v>45742</v>
      </c>
      <c r="B1712" s="4">
        <v>813.72</v>
      </c>
    </row>
    <row r="1713" spans="1:2" x14ac:dyDescent="0.3">
      <c r="A1713" s="11">
        <v>45743</v>
      </c>
      <c r="B1713" s="12">
        <v>817.84</v>
      </c>
    </row>
    <row r="1714" spans="1:2" x14ac:dyDescent="0.3">
      <c r="A1714" s="3">
        <v>45744</v>
      </c>
      <c r="B1714" s="4">
        <v>817.18</v>
      </c>
    </row>
    <row r="1715" spans="1:2" x14ac:dyDescent="0.3">
      <c r="A1715" s="11">
        <v>45747</v>
      </c>
      <c r="B1715" s="12">
        <v>817.15</v>
      </c>
    </row>
    <row r="1716" spans="1:2" x14ac:dyDescent="0.3">
      <c r="A1716" s="3">
        <v>45748</v>
      </c>
      <c r="B1716" s="4">
        <v>811.98</v>
      </c>
    </row>
    <row r="1717" spans="1:2" x14ac:dyDescent="0.3">
      <c r="A1717" s="11">
        <v>45749</v>
      </c>
      <c r="B1717" s="12">
        <v>818.2</v>
      </c>
    </row>
    <row r="1718" spans="1:2" x14ac:dyDescent="0.3">
      <c r="A1718" s="3">
        <v>45750</v>
      </c>
      <c r="B1718" s="4">
        <v>819.28</v>
      </c>
    </row>
    <row r="1719" spans="1:2" x14ac:dyDescent="0.3">
      <c r="A1719" s="11">
        <v>45751</v>
      </c>
      <c r="B1719" s="12">
        <v>802.22</v>
      </c>
    </row>
    <row r="1720" spans="1:2" x14ac:dyDescent="0.3">
      <c r="A1720" s="3">
        <v>45754</v>
      </c>
      <c r="B1720" s="4">
        <v>779.34</v>
      </c>
    </row>
    <row r="1721" spans="1:2" x14ac:dyDescent="0.3">
      <c r="A1721" s="11">
        <v>45755</v>
      </c>
      <c r="B1721" s="12">
        <v>791.99</v>
      </c>
    </row>
    <row r="1722" spans="1:2" x14ac:dyDescent="0.3">
      <c r="A1722" s="3">
        <v>45756</v>
      </c>
      <c r="B1722" s="4">
        <v>787.97</v>
      </c>
    </row>
    <row r="1723" spans="1:2" x14ac:dyDescent="0.3">
      <c r="A1723" s="11">
        <v>45758</v>
      </c>
      <c r="B1723" s="12">
        <v>801.25</v>
      </c>
    </row>
    <row r="1724" spans="1:2" x14ac:dyDescent="0.3">
      <c r="A1724" s="3">
        <v>45762</v>
      </c>
      <c r="B1724" s="4">
        <v>819.42</v>
      </c>
    </row>
    <row r="1725" spans="1:2" x14ac:dyDescent="0.3">
      <c r="A1725" s="11">
        <v>45763</v>
      </c>
      <c r="B1725" s="12">
        <v>824.66</v>
      </c>
    </row>
    <row r="1726" spans="1:2" x14ac:dyDescent="0.3">
      <c r="A1726" s="3">
        <v>45764</v>
      </c>
      <c r="B1726" s="4">
        <v>833.37</v>
      </c>
    </row>
    <row r="1727" spans="1:2" x14ac:dyDescent="0.3">
      <c r="A1727" s="11">
        <v>45768</v>
      </c>
      <c r="B1727" s="12">
        <v>842.79</v>
      </c>
    </row>
    <row r="1728" spans="1:2" x14ac:dyDescent="0.3">
      <c r="A1728" s="3">
        <v>45769</v>
      </c>
      <c r="B1728" s="4">
        <v>844.42</v>
      </c>
    </row>
    <row r="1729" spans="1:2" x14ac:dyDescent="0.3">
      <c r="A1729" s="11">
        <v>45770</v>
      </c>
      <c r="B1729" s="12">
        <v>850.5</v>
      </c>
    </row>
    <row r="1730" spans="1:2" x14ac:dyDescent="0.3">
      <c r="A1730" s="3">
        <v>45771</v>
      </c>
      <c r="B1730" s="4">
        <v>848.35</v>
      </c>
    </row>
    <row r="1731" spans="1:2" x14ac:dyDescent="0.3">
      <c r="A1731" s="11">
        <v>45772</v>
      </c>
      <c r="B1731" s="12">
        <v>836.96</v>
      </c>
    </row>
    <row r="1732" spans="1:2" x14ac:dyDescent="0.3">
      <c r="A1732" s="3">
        <v>45775</v>
      </c>
      <c r="B1732" s="4">
        <v>845.37</v>
      </c>
    </row>
    <row r="1733" spans="1:2" x14ac:dyDescent="0.3">
      <c r="A1733" s="11">
        <v>45776</v>
      </c>
      <c r="B1733" s="12">
        <v>845.93</v>
      </c>
    </row>
    <row r="1734" spans="1:2" x14ac:dyDescent="0.3">
      <c r="A1734" s="3">
        <v>45777</v>
      </c>
      <c r="B1734" s="4">
        <v>843.69</v>
      </c>
    </row>
    <row r="1735" spans="1:2" x14ac:dyDescent="0.3">
      <c r="A1735" s="11">
        <v>45779</v>
      </c>
      <c r="B1735" s="12">
        <v>843.44</v>
      </c>
    </row>
    <row r="1736" spans="1:2" x14ac:dyDescent="0.3">
      <c r="A1736" s="3">
        <v>45782</v>
      </c>
      <c r="B1736" s="4">
        <v>847.13</v>
      </c>
    </row>
    <row r="1737" spans="1:2" x14ac:dyDescent="0.3">
      <c r="A1737" s="11">
        <v>45783</v>
      </c>
      <c r="B1737" s="12">
        <v>837.28</v>
      </c>
    </row>
    <row r="1738" spans="1:2" x14ac:dyDescent="0.3">
      <c r="A1738" s="3">
        <v>45784</v>
      </c>
      <c r="B1738" s="4">
        <v>841.01</v>
      </c>
    </row>
    <row r="1739" spans="1:2" x14ac:dyDescent="0.3">
      <c r="A1739" s="11">
        <v>45785</v>
      </c>
      <c r="B1739" s="12">
        <v>833.45</v>
      </c>
    </row>
    <row r="1740" spans="1:2" x14ac:dyDescent="0.3">
      <c r="A1740" s="3">
        <v>45786</v>
      </c>
      <c r="B1740" s="4">
        <v>829.1</v>
      </c>
    </row>
    <row r="1741" spans="1:2" x14ac:dyDescent="0.3">
      <c r="A1741" s="11">
        <v>45789</v>
      </c>
      <c r="B1741" s="12">
        <v>854.47</v>
      </c>
    </row>
    <row r="1742" spans="1:2" x14ac:dyDescent="0.3">
      <c r="A1742" s="3">
        <v>45790</v>
      </c>
      <c r="B1742" s="4">
        <v>851.74</v>
      </c>
    </row>
    <row r="1743" spans="1:2" x14ac:dyDescent="0.3">
      <c r="A1743" s="11">
        <v>45791</v>
      </c>
      <c r="B1743" s="12">
        <v>858.52</v>
      </c>
    </row>
    <row r="1744" spans="1:2" x14ac:dyDescent="0.3">
      <c r="A1744" s="3">
        <v>45792</v>
      </c>
      <c r="B1744" s="4">
        <v>867.54</v>
      </c>
    </row>
    <row r="1745" spans="1:2" x14ac:dyDescent="0.3">
      <c r="A1745" s="11">
        <v>45793</v>
      </c>
      <c r="B1745" s="12">
        <v>871.43</v>
      </c>
    </row>
    <row r="1746" spans="1:2" x14ac:dyDescent="0.3">
      <c r="A1746" s="3">
        <v>45796</v>
      </c>
      <c r="B1746" s="4">
        <v>871.66</v>
      </c>
    </row>
    <row r="1747" spans="1:2" x14ac:dyDescent="0.3">
      <c r="A1747" s="11">
        <v>45797</v>
      </c>
      <c r="B1747" s="12">
        <v>863.94</v>
      </c>
    </row>
    <row r="1748" spans="1:2" x14ac:dyDescent="0.3">
      <c r="A1748" s="3">
        <v>45798</v>
      </c>
      <c r="B1748" s="4">
        <v>869.16</v>
      </c>
    </row>
    <row r="1749" spans="1:2" x14ac:dyDescent="0.3">
      <c r="A1749" s="11">
        <v>45799</v>
      </c>
      <c r="B1749" s="12">
        <v>866.29</v>
      </c>
    </row>
    <row r="1750" spans="1:2" x14ac:dyDescent="0.3">
      <c r="A1750" s="3">
        <v>45800</v>
      </c>
      <c r="B1750" s="4">
        <v>872.21</v>
      </c>
    </row>
    <row r="1751" spans="1:2" x14ac:dyDescent="0.3">
      <c r="A1751" s="11">
        <v>45803</v>
      </c>
      <c r="B1751" s="12">
        <v>874.65</v>
      </c>
    </row>
    <row r="1752" spans="1:2" x14ac:dyDescent="0.3">
      <c r="A1752" s="3">
        <v>45804</v>
      </c>
      <c r="B1752" s="4">
        <v>873.2</v>
      </c>
    </row>
    <row r="1753" spans="1:2" x14ac:dyDescent="0.3">
      <c r="A1753" s="11">
        <v>45805</v>
      </c>
      <c r="B1753" s="12">
        <v>874.57</v>
      </c>
    </row>
    <row r="1754" spans="1:2" x14ac:dyDescent="0.3">
      <c r="A1754" s="3">
        <v>45806</v>
      </c>
      <c r="B1754" s="4">
        <v>877.49</v>
      </c>
    </row>
    <row r="1755" spans="1:2" x14ac:dyDescent="0.3">
      <c r="A1755" s="11">
        <v>45807</v>
      </c>
      <c r="B1755" s="12">
        <v>875.15</v>
      </c>
    </row>
    <row r="1756" spans="1:2" x14ac:dyDescent="0.3">
      <c r="A1756" s="3">
        <v>45810</v>
      </c>
      <c r="B1756" s="4">
        <v>875.14</v>
      </c>
    </row>
    <row r="1757" spans="1:2" x14ac:dyDescent="0.3">
      <c r="A1757" s="11">
        <v>45811</v>
      </c>
      <c r="B1757" s="12">
        <v>872.26</v>
      </c>
    </row>
    <row r="1758" spans="1:2" x14ac:dyDescent="0.3">
      <c r="A1758" s="3">
        <v>45812</v>
      </c>
      <c r="B1758" s="4">
        <v>874.61</v>
      </c>
    </row>
    <row r="1759" spans="1:2" x14ac:dyDescent="0.3">
      <c r="A1759" s="11">
        <v>45813</v>
      </c>
      <c r="B1759" s="12">
        <v>877.11</v>
      </c>
    </row>
    <row r="1760" spans="1:2" x14ac:dyDescent="0.3">
      <c r="A1760" s="3">
        <v>45814</v>
      </c>
      <c r="B1760" s="4">
        <v>883.29</v>
      </c>
    </row>
    <row r="1761" spans="1:2" x14ac:dyDescent="0.3">
      <c r="A1761" s="11">
        <v>45817</v>
      </c>
      <c r="B1761" s="12">
        <v>890.21</v>
      </c>
    </row>
    <row r="1762" spans="1:2" x14ac:dyDescent="0.3">
      <c r="A1762" s="3">
        <v>45818</v>
      </c>
      <c r="B1762" s="4">
        <v>890.83</v>
      </c>
    </row>
    <row r="1763" spans="1:2" x14ac:dyDescent="0.3">
      <c r="A1763" s="11">
        <v>45819</v>
      </c>
      <c r="B1763" s="12">
        <v>892.63</v>
      </c>
    </row>
    <row r="1764" spans="1:2" x14ac:dyDescent="0.3">
      <c r="A1764" s="3">
        <v>45820</v>
      </c>
      <c r="B1764" s="4">
        <v>883.49</v>
      </c>
    </row>
    <row r="1765" spans="1:2" x14ac:dyDescent="0.3">
      <c r="A1765" s="11">
        <v>45821</v>
      </c>
      <c r="B1765" s="12">
        <v>879.42</v>
      </c>
    </row>
    <row r="1766" spans="1:2" x14ac:dyDescent="0.3">
      <c r="A1766" s="3">
        <v>45824</v>
      </c>
      <c r="B1766" s="4">
        <v>885.32</v>
      </c>
    </row>
    <row r="1767" spans="1:2" x14ac:dyDescent="0.3">
      <c r="A1767" s="11">
        <v>45825</v>
      </c>
      <c r="B1767" s="12">
        <v>881.4</v>
      </c>
    </row>
    <row r="1768" spans="1:2" x14ac:dyDescent="0.3">
      <c r="A1768" s="3">
        <v>45826</v>
      </c>
      <c r="B1768" s="4">
        <v>878.11</v>
      </c>
    </row>
    <row r="1769" spans="1:2" x14ac:dyDescent="0.3">
      <c r="A1769" s="11">
        <v>45827</v>
      </c>
      <c r="B1769" s="12">
        <v>870.7</v>
      </c>
    </row>
    <row r="1770" spans="1:2" x14ac:dyDescent="0.3">
      <c r="A1770" s="3">
        <v>45828</v>
      </c>
      <c r="B1770" s="4">
        <v>876.71</v>
      </c>
    </row>
    <row r="1771" spans="1:2" x14ac:dyDescent="0.3">
      <c r="A1771" s="11">
        <v>45831</v>
      </c>
      <c r="B1771" s="12">
        <v>876.22</v>
      </c>
    </row>
    <row r="1772" spans="1:2" x14ac:dyDescent="0.3">
      <c r="A1772" s="3">
        <v>45832</v>
      </c>
      <c r="B1772" s="4">
        <v>878.54</v>
      </c>
    </row>
    <row r="1773" spans="1:2" x14ac:dyDescent="0.3">
      <c r="A1773" s="11">
        <v>45833</v>
      </c>
      <c r="B1773" s="12">
        <v>887.05</v>
      </c>
    </row>
    <row r="1774" spans="1:2" x14ac:dyDescent="0.3">
      <c r="A1774" s="3">
        <v>45834</v>
      </c>
      <c r="B1774" s="4">
        <v>891.47</v>
      </c>
    </row>
    <row r="1775" spans="1:2" x14ac:dyDescent="0.3">
      <c r="A1775" s="11">
        <v>45835</v>
      </c>
      <c r="B1775" s="12">
        <v>894.61</v>
      </c>
    </row>
    <row r="1776" spans="1:2" x14ac:dyDescent="0.3">
      <c r="A1776" s="3">
        <v>45838</v>
      </c>
      <c r="B1776" s="4">
        <v>893.97</v>
      </c>
    </row>
    <row r="1777" spans="1:2" x14ac:dyDescent="0.3">
      <c r="A1777" s="11">
        <v>45839</v>
      </c>
      <c r="B1777" s="12">
        <v>894.14</v>
      </c>
    </row>
    <row r="1778" spans="1:2" x14ac:dyDescent="0.3">
      <c r="A1778" s="3">
        <v>45840</v>
      </c>
      <c r="B1778" s="4">
        <v>893.98</v>
      </c>
    </row>
    <row r="1779" spans="1:2" x14ac:dyDescent="0.3">
      <c r="A1779" s="11">
        <v>45841</v>
      </c>
      <c r="B1779" s="12">
        <v>895.71</v>
      </c>
    </row>
    <row r="1780" spans="1:2" x14ac:dyDescent="0.3">
      <c r="A1780" s="3">
        <v>45842</v>
      </c>
      <c r="B1780" s="4">
        <v>897.88</v>
      </c>
    </row>
    <row r="1781" spans="1:2" x14ac:dyDescent="0.3">
      <c r="A1781" s="11">
        <v>45845</v>
      </c>
      <c r="B1781" s="12">
        <v>897.18</v>
      </c>
    </row>
    <row r="1782" spans="1:2" x14ac:dyDescent="0.3">
      <c r="A1782" s="3">
        <v>45846</v>
      </c>
      <c r="B1782" s="4">
        <v>898.06</v>
      </c>
    </row>
    <row r="1783" spans="1:2" x14ac:dyDescent="0.3">
      <c r="A1783" s="11">
        <v>45847</v>
      </c>
      <c r="B1783" s="12">
        <v>897.9</v>
      </c>
    </row>
    <row r="1784" spans="1:2" x14ac:dyDescent="0.3">
      <c r="A1784" s="3">
        <v>45848</v>
      </c>
      <c r="B1784" s="4">
        <v>895.83</v>
      </c>
    </row>
    <row r="1785" spans="1:2" x14ac:dyDescent="0.3">
      <c r="A1785" s="11">
        <v>45849</v>
      </c>
      <c r="B1785" s="12">
        <v>892.65</v>
      </c>
    </row>
    <row r="1786" spans="1:2" x14ac:dyDescent="0.3">
      <c r="A1786" s="3">
        <v>45852</v>
      </c>
      <c r="B1786" s="4">
        <v>894.35</v>
      </c>
    </row>
    <row r="1787" spans="1:2" x14ac:dyDescent="0.3">
      <c r="A1787" s="11">
        <v>45853</v>
      </c>
      <c r="B1787" s="12">
        <v>899.9</v>
      </c>
    </row>
    <row r="1788" spans="1:2" x14ac:dyDescent="0.3">
      <c r="A1788" s="3">
        <v>45854</v>
      </c>
      <c r="B1788" s="4">
        <v>900.87</v>
      </c>
    </row>
    <row r="1789" spans="1:2" x14ac:dyDescent="0.3">
      <c r="A1789" s="11">
        <v>45855</v>
      </c>
      <c r="B1789" s="12">
        <v>901.68</v>
      </c>
    </row>
    <row r="1790" spans="1:2" x14ac:dyDescent="0.3">
      <c r="A1790" s="3">
        <v>45856</v>
      </c>
      <c r="B1790" s="4">
        <v>896.8</v>
      </c>
    </row>
    <row r="1791" spans="1:2" x14ac:dyDescent="0.3">
      <c r="A1791" s="11">
        <v>45859</v>
      </c>
      <c r="B1791" s="12">
        <v>898.34</v>
      </c>
    </row>
    <row r="1792" spans="1:2" x14ac:dyDescent="0.3">
      <c r="A1792" s="3">
        <v>45860</v>
      </c>
      <c r="B1792" s="4">
        <v>896.42</v>
      </c>
    </row>
    <row r="1793" spans="1:2" x14ac:dyDescent="0.3">
      <c r="A1793" s="11">
        <v>45861</v>
      </c>
      <c r="B1793" s="12">
        <v>899.27</v>
      </c>
    </row>
    <row r="1794" spans="1:2" x14ac:dyDescent="0.3">
      <c r="A1794" s="3">
        <v>45862</v>
      </c>
      <c r="B1794" s="4">
        <v>893.83</v>
      </c>
    </row>
    <row r="1795" spans="1:2" x14ac:dyDescent="0.3">
      <c r="A1795" s="11">
        <v>45863</v>
      </c>
      <c r="B1795" s="12">
        <v>886.37</v>
      </c>
    </row>
    <row r="1796" spans="1:2" x14ac:dyDescent="0.3">
      <c r="A1796" s="3">
        <v>45866</v>
      </c>
      <c r="B1796" s="4">
        <v>882.46</v>
      </c>
    </row>
    <row r="1797" spans="1:2" x14ac:dyDescent="0.3">
      <c r="A1797" s="11">
        <v>45867</v>
      </c>
      <c r="B1797" s="12">
        <v>888.56</v>
      </c>
    </row>
    <row r="1798" spans="1:2" x14ac:dyDescent="0.3">
      <c r="A1798" s="3">
        <v>45868</v>
      </c>
      <c r="B1798" s="4">
        <v>891.8</v>
      </c>
    </row>
    <row r="1799" spans="1:2" x14ac:dyDescent="0.3">
      <c r="A1799" s="11">
        <v>45869</v>
      </c>
      <c r="B1799" s="12">
        <v>885.94</v>
      </c>
    </row>
    <row r="1800" spans="1:2" x14ac:dyDescent="0.3">
      <c r="A1800" s="3">
        <v>45870</v>
      </c>
      <c r="B1800" s="4">
        <v>875.92</v>
      </c>
    </row>
    <row r="1801" spans="1:2" x14ac:dyDescent="0.3">
      <c r="A1801" s="11">
        <v>45873</v>
      </c>
      <c r="B1801" s="12">
        <v>879.83</v>
      </c>
    </row>
    <row r="1802" spans="1:2" x14ac:dyDescent="0.3">
      <c r="A1802" s="3">
        <v>45874</v>
      </c>
      <c r="B1802" s="4">
        <v>877.23</v>
      </c>
    </row>
    <row r="1803" spans="1:2" x14ac:dyDescent="0.3">
      <c r="A1803" s="11">
        <v>45875</v>
      </c>
      <c r="B1803" s="12">
        <v>872.05</v>
      </c>
    </row>
    <row r="1804" spans="1:2" x14ac:dyDescent="0.3">
      <c r="A1804" s="3">
        <v>45876</v>
      </c>
      <c r="B1804" s="4">
        <v>873.12</v>
      </c>
    </row>
    <row r="1805" spans="1:2" x14ac:dyDescent="0.3">
      <c r="A1805" s="11">
        <v>45877</v>
      </c>
      <c r="B1805" s="12">
        <v>866.58</v>
      </c>
    </row>
    <row r="1806" spans="1:2" x14ac:dyDescent="0.3">
      <c r="A1806" s="3">
        <v>45880</v>
      </c>
      <c r="B1806" s="4">
        <v>870.72</v>
      </c>
    </row>
    <row r="1807" spans="1:2" x14ac:dyDescent="0.3">
      <c r="A1807" s="11">
        <v>45881</v>
      </c>
      <c r="B1807" s="12">
        <v>871.41</v>
      </c>
    </row>
    <row r="1808" spans="1:2" x14ac:dyDescent="0.3">
      <c r="A1808" s="3">
        <v>45882</v>
      </c>
      <c r="B1808" s="4">
        <v>874.71</v>
      </c>
    </row>
    <row r="1809" spans="1:2" x14ac:dyDescent="0.3">
      <c r="A1809" s="11">
        <v>45883</v>
      </c>
      <c r="B1809" s="12">
        <v>873.32</v>
      </c>
    </row>
    <row r="1810" spans="1:2" x14ac:dyDescent="0.3">
      <c r="A1810" s="3">
        <v>45887</v>
      </c>
      <c r="B1810" s="4">
        <v>882.88</v>
      </c>
    </row>
    <row r="1811" spans="1:2" x14ac:dyDescent="0.3">
      <c r="A1811" s="11">
        <v>45888</v>
      </c>
      <c r="B1811" s="12">
        <v>888.67</v>
      </c>
    </row>
    <row r="1812" spans="1:2" x14ac:dyDescent="0.3">
      <c r="A1812" s="3">
        <v>45889</v>
      </c>
      <c r="B1812" s="4">
        <v>891.16</v>
      </c>
    </row>
    <row r="1813" spans="1:2" x14ac:dyDescent="0.3">
      <c r="A1813" s="11">
        <v>45890</v>
      </c>
      <c r="B1813" s="12">
        <v>891.47</v>
      </c>
    </row>
    <row r="1814" spans="1:2" x14ac:dyDescent="0.3">
      <c r="A1814" s="3">
        <v>45891</v>
      </c>
      <c r="B1814" s="4">
        <v>887.27</v>
      </c>
    </row>
    <row r="1815" spans="1:2" x14ac:dyDescent="0.3">
      <c r="A1815" s="11">
        <v>45894</v>
      </c>
      <c r="B1815" s="12">
        <v>889.09</v>
      </c>
    </row>
    <row r="1816" spans="1:2" x14ac:dyDescent="0.3">
      <c r="A1816" s="3">
        <v>45895</v>
      </c>
      <c r="B1816" s="4">
        <v>876.61</v>
      </c>
    </row>
    <row r="1817" spans="1:2" x14ac:dyDescent="0.3">
      <c r="A1817" s="11">
        <v>45897</v>
      </c>
      <c r="B1817" s="12">
        <v>868.34</v>
      </c>
    </row>
    <row r="1818" spans="1:2" x14ac:dyDescent="0.3">
      <c r="A1818" s="3">
        <v>45898</v>
      </c>
      <c r="B1818" s="4">
        <v>865.24</v>
      </c>
    </row>
    <row r="1819" spans="1:2" x14ac:dyDescent="0.3">
      <c r="A1819" s="11">
        <v>45901</v>
      </c>
      <c r="B1819" s="12">
        <v>873.29</v>
      </c>
    </row>
    <row r="1820" spans="1:2" x14ac:dyDescent="0.3">
      <c r="A1820" s="3">
        <v>45902</v>
      </c>
      <c r="B1820" s="4">
        <v>874.81</v>
      </c>
    </row>
    <row r="1821" spans="1:2" x14ac:dyDescent="0.3">
      <c r="A1821" s="11">
        <v>45903</v>
      </c>
      <c r="B1821" s="12">
        <v>879.53</v>
      </c>
    </row>
    <row r="1822" spans="1:2" x14ac:dyDescent="0.3">
      <c r="A1822" s="3">
        <v>45904</v>
      </c>
      <c r="B1822" s="4">
        <v>876.9</v>
      </c>
    </row>
    <row r="1823" spans="1:2" x14ac:dyDescent="0.3">
      <c r="A1823" s="11">
        <v>45905</v>
      </c>
      <c r="B1823" s="12">
        <v>875.31</v>
      </c>
    </row>
    <row r="1824" spans="1:2" x14ac:dyDescent="0.3">
      <c r="A1824" s="3">
        <v>45908</v>
      </c>
      <c r="B1824" s="4">
        <v>876.72</v>
      </c>
    </row>
    <row r="1825" spans="1:2" x14ac:dyDescent="0.3">
      <c r="A1825" s="11">
        <v>45909</v>
      </c>
      <c r="B1825" s="12">
        <v>879.54</v>
      </c>
    </row>
    <row r="1826" spans="1:2" x14ac:dyDescent="0.3">
      <c r="A1826" s="3">
        <v>45910</v>
      </c>
      <c r="B1826" s="4">
        <v>883.87</v>
      </c>
    </row>
    <row r="1827" spans="1:2" x14ac:dyDescent="0.3">
      <c r="A1827" s="11">
        <v>45911</v>
      </c>
      <c r="B1827" s="12">
        <v>885.23</v>
      </c>
    </row>
    <row r="1828" spans="1:2" x14ac:dyDescent="0.3">
      <c r="A1828" s="3">
        <v>45912</v>
      </c>
      <c r="B1828" s="4">
        <v>888.48</v>
      </c>
    </row>
    <row r="1829" spans="1:2" x14ac:dyDescent="0.3">
      <c r="A1829" s="11">
        <v>45915</v>
      </c>
      <c r="B1829" s="12">
        <v>891.7</v>
      </c>
    </row>
    <row r="1830" spans="1:2" x14ac:dyDescent="0.3">
      <c r="A1830" s="3">
        <v>45916</v>
      </c>
      <c r="B1830" s="4">
        <v>897.12</v>
      </c>
    </row>
    <row r="1831" spans="1:2" x14ac:dyDescent="0.3">
      <c r="A1831" s="11">
        <v>45917</v>
      </c>
      <c r="B1831" s="12">
        <v>899.35</v>
      </c>
    </row>
    <row r="1832" spans="1:2" x14ac:dyDescent="0.3">
      <c r="A1832" s="3">
        <v>45918</v>
      </c>
      <c r="B1832" s="4">
        <v>901.23</v>
      </c>
    </row>
    <row r="1833" spans="1:2" x14ac:dyDescent="0.3">
      <c r="A1833" s="11">
        <v>45919</v>
      </c>
      <c r="B1833" s="12">
        <v>899.49</v>
      </c>
    </row>
    <row r="1834" spans="1:2" x14ac:dyDescent="0.3">
      <c r="A1834" s="3">
        <v>45922</v>
      </c>
      <c r="B1834" s="4">
        <v>895.36</v>
      </c>
    </row>
    <row r="1835" spans="1:2" x14ac:dyDescent="0.3">
      <c r="A1835" s="11">
        <v>45923</v>
      </c>
      <c r="B1835" s="12">
        <v>891.61</v>
      </c>
    </row>
    <row r="1836" spans="1:2" x14ac:dyDescent="0.3">
      <c r="A1836" s="3">
        <v>45924</v>
      </c>
      <c r="B1836" s="4">
        <v>885.02</v>
      </c>
    </row>
    <row r="1837" spans="1:2" x14ac:dyDescent="0.3">
      <c r="A1837" s="11">
        <v>45925</v>
      </c>
      <c r="B1837" s="12">
        <v>882</v>
      </c>
    </row>
    <row r="1838" spans="1:2" x14ac:dyDescent="0.3">
      <c r="A1838" s="3">
        <v>45926</v>
      </c>
      <c r="B1838" s="4">
        <v>867.34</v>
      </c>
    </row>
    <row r="1839" spans="1:2" x14ac:dyDescent="0.3">
      <c r="A1839" s="11">
        <v>45929</v>
      </c>
      <c r="B1839" s="12">
        <v>868</v>
      </c>
    </row>
    <row r="1840" spans="1:2" x14ac:dyDescent="0.3">
      <c r="A1840" s="3">
        <v>45930</v>
      </c>
      <c r="B1840" s="4">
        <v>868.2</v>
      </c>
    </row>
    <row r="1841" spans="1:2" x14ac:dyDescent="0.3">
      <c r="A1841" s="11">
        <v>45931</v>
      </c>
      <c r="B1841" s="12">
        <v>874.98</v>
      </c>
    </row>
    <row r="1842" spans="1:2" x14ac:dyDescent="0.3">
      <c r="A1842" s="3">
        <v>45933</v>
      </c>
      <c r="B1842" s="4">
        <v>879.99</v>
      </c>
    </row>
    <row r="1843" spans="1:2" x14ac:dyDescent="0.3">
      <c r="A1843" s="11">
        <v>45936</v>
      </c>
      <c r="B1843" s="12">
        <v>884.43</v>
      </c>
    </row>
    <row r="1844" spans="1:2" x14ac:dyDescent="0.3">
      <c r="A1844" s="3">
        <v>45937</v>
      </c>
      <c r="B1844" s="4">
        <v>886.07</v>
      </c>
    </row>
    <row r="1845" spans="1:2" x14ac:dyDescent="0.3">
      <c r="A1845" s="11">
        <v>45938</v>
      </c>
      <c r="B1845" s="12">
        <v>881.13</v>
      </c>
    </row>
    <row r="1846" spans="1:2" x14ac:dyDescent="0.3">
      <c r="A1846" s="3">
        <v>45939</v>
      </c>
      <c r="B1846" s="4">
        <v>885.89</v>
      </c>
    </row>
    <row r="1847" spans="1:2" x14ac:dyDescent="0.3">
      <c r="A1847" s="11">
        <v>45940</v>
      </c>
      <c r="B1847" s="12">
        <v>889.24</v>
      </c>
    </row>
    <row r="1848" spans="1:2" x14ac:dyDescent="0.3">
      <c r="A1848" s="3">
        <v>45943</v>
      </c>
      <c r="B1848" s="4">
        <v>886.88</v>
      </c>
    </row>
    <row r="1849" spans="1:2" x14ac:dyDescent="0.3">
      <c r="A1849" s="11">
        <v>45944</v>
      </c>
      <c r="B1849" s="12">
        <v>882.52</v>
      </c>
    </row>
    <row r="1850" spans="1:2" x14ac:dyDescent="0.3">
      <c r="A1850" s="3">
        <v>45945</v>
      </c>
      <c r="B1850" s="4">
        <v>889.05</v>
      </c>
    </row>
    <row r="1851" spans="1:2" x14ac:dyDescent="0.3">
      <c r="A1851" s="11">
        <v>45946</v>
      </c>
      <c r="B1851" s="12">
        <v>897.43</v>
      </c>
    </row>
    <row r="1852" spans="1:2" x14ac:dyDescent="0.3">
      <c r="A1852" s="3">
        <v>45947</v>
      </c>
      <c r="B1852" s="4">
        <v>896.42</v>
      </c>
    </row>
    <row r="1853" spans="1:2" x14ac:dyDescent="0.3">
      <c r="A1853" s="11">
        <v>45950</v>
      </c>
      <c r="B1853" s="12">
        <v>898.05</v>
      </c>
    </row>
    <row r="1854" spans="1:2" x14ac:dyDescent="0.3">
      <c r="A1854" s="3">
        <v>45953</v>
      </c>
      <c r="B1854" s="4">
        <v>899.51</v>
      </c>
    </row>
    <row r="1855" spans="1:2" x14ac:dyDescent="0.3">
      <c r="A1855" s="11">
        <v>45954</v>
      </c>
      <c r="B1855" s="12">
        <v>897.9</v>
      </c>
    </row>
    <row r="1856" spans="1:2" x14ac:dyDescent="0.3">
      <c r="A1856" s="3">
        <v>45957</v>
      </c>
      <c r="B1856" s="4">
        <v>904.86</v>
      </c>
    </row>
    <row r="1857" spans="1:2" x14ac:dyDescent="0.3">
      <c r="A1857" s="11">
        <v>45958</v>
      </c>
      <c r="B1857" s="12">
        <v>904.72</v>
      </c>
    </row>
    <row r="1858" spans="1:2" x14ac:dyDescent="0.3">
      <c r="A1858" s="3">
        <v>45959</v>
      </c>
      <c r="B1858" s="4">
        <v>909.99</v>
      </c>
    </row>
    <row r="1859" spans="1:2" x14ac:dyDescent="0.3">
      <c r="A1859" s="11">
        <v>45960</v>
      </c>
      <c r="B1859" s="12">
        <v>906.73</v>
      </c>
    </row>
    <row r="1860" spans="1:2" x14ac:dyDescent="0.3">
      <c r="A1860" s="3">
        <v>45961</v>
      </c>
      <c r="B1860" s="4">
        <v>899.87</v>
      </c>
    </row>
    <row r="1861" spans="1:2" x14ac:dyDescent="0.3">
      <c r="A1861" s="11">
        <v>45964</v>
      </c>
      <c r="B1861" s="12">
        <v>906.61</v>
      </c>
    </row>
    <row r="1862" spans="1:2" x14ac:dyDescent="0.3">
      <c r="A1862" s="3">
        <v>45965</v>
      </c>
      <c r="B1862" s="4">
        <v>902.95</v>
      </c>
    </row>
    <row r="1863" spans="1:2" x14ac:dyDescent="0.3">
      <c r="A1863" s="11">
        <v>45967</v>
      </c>
      <c r="B1863" s="12">
        <v>894.24</v>
      </c>
    </row>
    <row r="1864" spans="1:2" x14ac:dyDescent="0.3">
      <c r="A1864" s="3">
        <v>45968</v>
      </c>
      <c r="B1864" s="4">
        <v>895.16</v>
      </c>
    </row>
    <row r="1865" spans="1:2" x14ac:dyDescent="0.3">
      <c r="A1865" s="11">
        <v>45971</v>
      </c>
      <c r="B1865" s="12">
        <v>896.44</v>
      </c>
    </row>
    <row r="1866" spans="1:2" x14ac:dyDescent="0.3">
      <c r="A1866" s="3">
        <v>45972</v>
      </c>
      <c r="B1866" s="4">
        <v>900.43</v>
      </c>
    </row>
    <row r="1867" spans="1:2" x14ac:dyDescent="0.3">
      <c r="A1867" s="11">
        <v>45973</v>
      </c>
      <c r="B1867" s="12">
        <v>905.62</v>
      </c>
    </row>
    <row r="1868" spans="1:2" x14ac:dyDescent="0.3">
      <c r="A1868" s="3">
        <v>45974</v>
      </c>
      <c r="B1868" s="4">
        <v>905.7</v>
      </c>
    </row>
    <row r="1869" spans="1:2" x14ac:dyDescent="0.3">
      <c r="A1869" s="11">
        <v>45975</v>
      </c>
      <c r="B1869" s="12">
        <v>904.78</v>
      </c>
    </row>
    <row r="1870" spans="1:2" x14ac:dyDescent="0.3">
      <c r="A1870" s="3">
        <v>45978</v>
      </c>
      <c r="B1870" s="4">
        <v>909.62</v>
      </c>
    </row>
    <row r="1871" spans="1:2" x14ac:dyDescent="0.3">
      <c r="A1871" s="11">
        <v>45979</v>
      </c>
      <c r="B1871" s="12">
        <v>904.61</v>
      </c>
    </row>
    <row r="1872" spans="1:2" x14ac:dyDescent="0.3">
      <c r="A1872" s="3">
        <v>45980</v>
      </c>
      <c r="B1872" s="4">
        <v>905.32</v>
      </c>
    </row>
    <row r="1873" spans="1:2" x14ac:dyDescent="0.3">
      <c r="A1873" s="11">
        <v>45981</v>
      </c>
      <c r="B1873" s="12">
        <v>905.38</v>
      </c>
    </row>
    <row r="1874" spans="1:2" x14ac:dyDescent="0.3">
      <c r="A1874" s="3">
        <v>45982</v>
      </c>
      <c r="B1874" s="4">
        <v>895.69</v>
      </c>
    </row>
    <row r="1875" spans="1:2" x14ac:dyDescent="0.3">
      <c r="A1875" s="11">
        <v>45985</v>
      </c>
      <c r="B1875" s="12">
        <v>889.54</v>
      </c>
    </row>
    <row r="1876" spans="1:2" x14ac:dyDescent="0.3">
      <c r="A1876" s="3">
        <v>45986</v>
      </c>
      <c r="B1876" s="4">
        <v>891.21</v>
      </c>
    </row>
    <row r="1877" spans="1:2" x14ac:dyDescent="0.3">
      <c r="A1877" s="11">
        <v>45987</v>
      </c>
      <c r="B1877" s="12">
        <v>900.73</v>
      </c>
    </row>
    <row r="1878" spans="1:2" x14ac:dyDescent="0.3">
      <c r="A1878" s="3">
        <v>45988</v>
      </c>
      <c r="B1878" s="4">
        <v>899.62</v>
      </c>
    </row>
    <row r="1879" spans="1:2" x14ac:dyDescent="0.3">
      <c r="A1879" s="11">
        <v>45989</v>
      </c>
      <c r="B1879" s="12">
        <v>898.96</v>
      </c>
    </row>
    <row r="1880" spans="1:2" x14ac:dyDescent="0.3">
      <c r="A1880" s="3">
        <v>45992</v>
      </c>
      <c r="B1880" s="4">
        <v>897.22</v>
      </c>
    </row>
    <row r="1881" spans="1:2" x14ac:dyDescent="0.3">
      <c r="A1881" s="11">
        <v>45993</v>
      </c>
      <c r="B1881" s="12">
        <v>894.7</v>
      </c>
    </row>
    <row r="1882" spans="1:2" x14ac:dyDescent="0.3">
      <c r="A1882" s="3">
        <v>45994</v>
      </c>
      <c r="B1882" s="4">
        <v>888.13</v>
      </c>
    </row>
    <row r="1883" spans="1:2" x14ac:dyDescent="0.3">
      <c r="A1883" s="11">
        <v>45995</v>
      </c>
      <c r="B1883" s="12">
        <v>888.55</v>
      </c>
    </row>
    <row r="1884" spans="1:2" x14ac:dyDescent="0.3">
      <c r="A1884" s="3">
        <v>45996</v>
      </c>
      <c r="B1884" s="4">
        <v>888.67</v>
      </c>
    </row>
    <row r="1885" spans="1:2" x14ac:dyDescent="0.3">
      <c r="A1885" s="11">
        <v>45999</v>
      </c>
      <c r="B1885" s="12">
        <v>875.06</v>
      </c>
    </row>
    <row r="1886" spans="1:2" x14ac:dyDescent="0.3">
      <c r="A1886" s="3">
        <v>46000</v>
      </c>
      <c r="B1886" s="4">
        <v>878.24</v>
      </c>
    </row>
    <row r="1887" spans="1:2" x14ac:dyDescent="0.3">
      <c r="A1887" s="11">
        <v>46001</v>
      </c>
      <c r="B1887" s="12">
        <v>873.88</v>
      </c>
    </row>
    <row r="1888" spans="1:2" x14ac:dyDescent="0.3">
      <c r="A1888" s="3">
        <v>46002</v>
      </c>
      <c r="B1888" s="4">
        <v>879.91</v>
      </c>
    </row>
    <row r="1889" spans="1:2" x14ac:dyDescent="0.3">
      <c r="A1889" s="11">
        <v>46003</v>
      </c>
      <c r="B1889" s="12">
        <v>888.65</v>
      </c>
    </row>
    <row r="1890" spans="1:2" x14ac:dyDescent="0.3">
      <c r="A1890" s="3">
        <v>46006</v>
      </c>
      <c r="B1890" s="4">
        <v>889.69</v>
      </c>
    </row>
    <row r="1891" spans="1:2" x14ac:dyDescent="0.3">
      <c r="A1891" s="11">
        <v>46007</v>
      </c>
      <c r="B1891" s="12">
        <v>884.18</v>
      </c>
    </row>
    <row r="1892" spans="1:2" x14ac:dyDescent="0.3">
      <c r="A1892" s="3">
        <v>46008</v>
      </c>
      <c r="B1892" s="4">
        <v>880.05</v>
      </c>
    </row>
    <row r="1893" spans="1:2" x14ac:dyDescent="0.3">
      <c r="A1893" s="11">
        <v>46009</v>
      </c>
      <c r="B1893" s="12">
        <v>880.33</v>
      </c>
    </row>
    <row r="1894" spans="1:2" x14ac:dyDescent="0.3">
      <c r="A1894" s="3">
        <v>46010</v>
      </c>
      <c r="B1894" s="4">
        <v>890.06</v>
      </c>
    </row>
    <row r="1895" spans="1:2" x14ac:dyDescent="0.3">
      <c r="A1895" s="11">
        <v>46013</v>
      </c>
      <c r="B1895" s="12">
        <v>898.06</v>
      </c>
    </row>
    <row r="1896" spans="1:2" x14ac:dyDescent="0.3">
      <c r="A1896" s="3">
        <v>46014</v>
      </c>
      <c r="B1896" s="4">
        <v>899.54</v>
      </c>
    </row>
    <row r="1897" spans="1:2" x14ac:dyDescent="0.3">
      <c r="A1897" s="11">
        <v>46015</v>
      </c>
      <c r="B1897" s="12">
        <v>898.59</v>
      </c>
    </row>
    <row r="1898" spans="1:2" x14ac:dyDescent="0.3">
      <c r="A1898" s="3">
        <v>46017</v>
      </c>
      <c r="B1898" s="4">
        <v>896.38</v>
      </c>
    </row>
    <row r="1899" spans="1:2" x14ac:dyDescent="0.3">
      <c r="A1899" s="11">
        <v>46020</v>
      </c>
      <c r="B1899" s="12">
        <v>893.47</v>
      </c>
    </row>
    <row r="1900" spans="1:2" x14ac:dyDescent="0.3">
      <c r="A1900" s="3">
        <v>46021</v>
      </c>
      <c r="B1900" s="4">
        <v>892.66</v>
      </c>
    </row>
    <row r="1901" spans="1:2" x14ac:dyDescent="0.3">
      <c r="A1901" s="11">
        <v>46022</v>
      </c>
      <c r="B1901" s="12">
        <v>902.63</v>
      </c>
    </row>
    <row r="1902" spans="1:2" x14ac:dyDescent="0.3">
      <c r="A1902" s="3">
        <v>46023</v>
      </c>
      <c r="B1902" s="4">
        <v>905.66</v>
      </c>
    </row>
    <row r="1903" spans="1:2" x14ac:dyDescent="0.3">
      <c r="A1903" s="11">
        <v>46024</v>
      </c>
      <c r="B1903" s="12">
        <v>910.79</v>
      </c>
    </row>
    <row r="1904" spans="1:2" x14ac:dyDescent="0.3">
      <c r="A1904" s="3">
        <v>46027</v>
      </c>
      <c r="B1904" s="4">
        <v>913.37</v>
      </c>
    </row>
    <row r="1905" spans="1:2" x14ac:dyDescent="0.3">
      <c r="A1905" s="11">
        <v>46028</v>
      </c>
      <c r="B1905" s="12">
        <v>911.34</v>
      </c>
    </row>
    <row r="1906" spans="1:2" x14ac:dyDescent="0.3">
      <c r="A1906" s="3">
        <v>46029</v>
      </c>
      <c r="B1906" s="4">
        <v>910.77</v>
      </c>
    </row>
    <row r="1907" spans="1:2" x14ac:dyDescent="0.3">
      <c r="A1907" s="11">
        <v>46030</v>
      </c>
      <c r="B1907" s="12">
        <v>895.44</v>
      </c>
    </row>
    <row r="1908" spans="1:2" x14ac:dyDescent="0.3">
      <c r="A1908" s="3">
        <v>46031</v>
      </c>
      <c r="B1908" s="4">
        <v>885.52</v>
      </c>
    </row>
    <row r="1909" spans="1:2" x14ac:dyDescent="0.3">
      <c r="A1909" s="11">
        <v>46034</v>
      </c>
      <c r="B1909" s="12">
        <v>885.05</v>
      </c>
    </row>
    <row r="1910" spans="1:2" x14ac:dyDescent="0.3">
      <c r="A1910" s="3">
        <v>46035</v>
      </c>
      <c r="B1910" s="4">
        <v>884.98</v>
      </c>
    </row>
    <row r="1911" spans="1:2" x14ac:dyDescent="0.3">
      <c r="A1911" s="11">
        <v>46036</v>
      </c>
      <c r="B1911" s="12">
        <v>889.77</v>
      </c>
    </row>
    <row r="1912" spans="1:2" x14ac:dyDescent="0.3">
      <c r="A1912" s="3">
        <v>46038</v>
      </c>
      <c r="B1912" s="4">
        <v>887.65</v>
      </c>
    </row>
    <row r="1913" spans="1:2" x14ac:dyDescent="0.3">
      <c r="A1913" s="11">
        <v>46041</v>
      </c>
      <c r="B1913" s="12">
        <v>882.57</v>
      </c>
    </row>
    <row r="1914" spans="1:2" x14ac:dyDescent="0.3">
      <c r="A1914" s="3">
        <v>46042</v>
      </c>
      <c r="B1914" s="4">
        <v>861</v>
      </c>
    </row>
    <row r="1915" spans="1:2" x14ac:dyDescent="0.3">
      <c r="A1915" s="11">
        <v>46043</v>
      </c>
      <c r="B1915" s="12">
        <v>856.74</v>
      </c>
    </row>
    <row r="1916" spans="1:2" x14ac:dyDescent="0.3">
      <c r="A1916" s="3">
        <v>46044</v>
      </c>
      <c r="B1916" s="4">
        <v>866.45</v>
      </c>
    </row>
    <row r="1917" spans="1:2" x14ac:dyDescent="0.3">
      <c r="A1917" s="11">
        <v>46045</v>
      </c>
      <c r="B1917" s="12">
        <v>854.45</v>
      </c>
    </row>
    <row r="1918" spans="1:2" x14ac:dyDescent="0.3">
      <c r="A1918" s="3">
        <v>46049</v>
      </c>
      <c r="B1918" s="4">
        <v>859.04</v>
      </c>
    </row>
    <row r="1919" spans="1:2" x14ac:dyDescent="0.3">
      <c r="A1919" s="11">
        <v>46050</v>
      </c>
      <c r="B1919" s="12">
        <v>874.87</v>
      </c>
    </row>
    <row r="1920" spans="1:2" x14ac:dyDescent="0.3">
      <c r="A1920" s="3">
        <v>46051</v>
      </c>
      <c r="B1920" s="4">
        <v>879.5</v>
      </c>
    </row>
    <row r="1921" spans="1:2" x14ac:dyDescent="0.3">
      <c r="A1921" s="11">
        <v>46052</v>
      </c>
      <c r="B1921" s="12">
        <v>876.82</v>
      </c>
    </row>
    <row r="1922" spans="1:2" x14ac:dyDescent="0.3">
      <c r="A1922" s="3">
        <v>46055</v>
      </c>
      <c r="B1922" s="4">
        <v>866.86</v>
      </c>
    </row>
    <row r="1923" spans="1:2" x14ac:dyDescent="0.3">
      <c r="A1923" s="11">
        <v>46056</v>
      </c>
      <c r="B1923" s="12">
        <v>896.34</v>
      </c>
    </row>
    <row r="1924" spans="1:2" x14ac:dyDescent="0.3">
      <c r="A1924" s="3">
        <v>46057</v>
      </c>
      <c r="B1924" s="4">
        <v>902.5</v>
      </c>
    </row>
    <row r="1925" spans="1:2" x14ac:dyDescent="0.3">
      <c r="A1925" s="11">
        <v>46058</v>
      </c>
      <c r="B1925" s="12">
        <v>896.46</v>
      </c>
    </row>
    <row r="1926" spans="1:2" x14ac:dyDescent="0.3">
      <c r="A1926" s="3">
        <v>46059</v>
      </c>
      <c r="B1926" s="4">
        <v>896.54</v>
      </c>
    </row>
    <row r="1927" spans="1:2" x14ac:dyDescent="0.3">
      <c r="A1927" s="11">
        <v>46062</v>
      </c>
      <c r="B1927" s="12">
        <v>911.28</v>
      </c>
    </row>
    <row r="1928" spans="1:2" x14ac:dyDescent="0.3">
      <c r="A1928" s="3">
        <v>46063</v>
      </c>
      <c r="B1928" s="4">
        <v>916.45</v>
      </c>
    </row>
    <row r="1929" spans="1:2" x14ac:dyDescent="0.3">
      <c r="A1929" s="11">
        <v>46064</v>
      </c>
      <c r="B1929" s="12">
        <v>917.05</v>
      </c>
    </row>
    <row r="1930" spans="1:2" x14ac:dyDescent="0.3">
      <c r="A1930" s="3">
        <v>46065</v>
      </c>
      <c r="B1930" s="4">
        <v>914.57</v>
      </c>
    </row>
    <row r="1931" spans="1:2" x14ac:dyDescent="0.3">
      <c r="A1931" s="11">
        <v>46066</v>
      </c>
      <c r="B1931" s="12">
        <v>902.83</v>
      </c>
    </row>
    <row r="1932" spans="1:2" x14ac:dyDescent="0.3">
      <c r="A1932" s="3">
        <v>46069</v>
      </c>
      <c r="B1932" s="4">
        <v>902.3</v>
      </c>
    </row>
    <row r="1933" spans="1:2" x14ac:dyDescent="0.3">
      <c r="A1933" s="11">
        <v>46070</v>
      </c>
      <c r="B1933" s="12">
        <v>903.71</v>
      </c>
    </row>
    <row r="1934" spans="1:2" x14ac:dyDescent="0.3">
      <c r="A1934" s="3">
        <v>46071</v>
      </c>
      <c r="B1934" s="4">
        <v>909.4</v>
      </c>
    </row>
    <row r="1935" spans="1:2" x14ac:dyDescent="0.3">
      <c r="A1935" s="11">
        <v>46072</v>
      </c>
      <c r="B1935" s="12">
        <v>897.14</v>
      </c>
    </row>
    <row r="1936" spans="1:2" x14ac:dyDescent="0.3">
      <c r="A1936" s="3">
        <v>46073</v>
      </c>
      <c r="B1936" s="4">
        <v>902.87</v>
      </c>
    </row>
    <row r="1937" spans="1:2" x14ac:dyDescent="0.3">
      <c r="A1937" s="11">
        <v>46076</v>
      </c>
      <c r="B1937" s="12">
        <v>903.11</v>
      </c>
    </row>
    <row r="1938" spans="1:2" x14ac:dyDescent="0.3">
      <c r="A1938" s="3">
        <v>46077</v>
      </c>
      <c r="B1938" s="4">
        <v>898.89</v>
      </c>
    </row>
    <row r="1939" spans="1:2" x14ac:dyDescent="0.3">
      <c r="A1939" s="11">
        <v>46078</v>
      </c>
      <c r="B1939" s="12">
        <v>907.27</v>
      </c>
    </row>
    <row r="1940" spans="1:2" x14ac:dyDescent="0.3">
      <c r="A1940" s="3">
        <v>46079</v>
      </c>
      <c r="B1940" s="4">
        <v>910.35</v>
      </c>
    </row>
    <row r="1941" spans="1:2" x14ac:dyDescent="0.3">
      <c r="A1941" s="11">
        <v>46080</v>
      </c>
      <c r="B1941" s="12">
        <v>898.92</v>
      </c>
    </row>
    <row r="1942" spans="1:2" x14ac:dyDescent="0.3">
      <c r="A1942" s="3">
        <v>46083</v>
      </c>
      <c r="B1942" s="4">
        <v>885.37</v>
      </c>
    </row>
    <row r="1943" spans="1:2" x14ac:dyDescent="0.3">
      <c r="A1943" s="11">
        <v>46085</v>
      </c>
      <c r="B1943" s="12">
        <v>864.99</v>
      </c>
    </row>
    <row r="1944" spans="1:2" x14ac:dyDescent="0.3">
      <c r="A1944" s="3">
        <v>46086</v>
      </c>
      <c r="B1944" s="4">
        <v>877.83</v>
      </c>
    </row>
    <row r="1945" spans="1:2" x14ac:dyDescent="0.3">
      <c r="A1945" s="11">
        <v>46087</v>
      </c>
      <c r="B1945" s="12">
        <v>872.98</v>
      </c>
    </row>
    <row r="1946" spans="1:2" x14ac:dyDescent="0.3">
      <c r="A1946" s="3">
        <v>46090</v>
      </c>
      <c r="B1946" s="4">
        <v>853.98</v>
      </c>
    </row>
    <row r="1947" spans="1:2" x14ac:dyDescent="0.3">
      <c r="A1947" s="11">
        <v>46091</v>
      </c>
      <c r="B1947" s="12">
        <v>869.27</v>
      </c>
    </row>
    <row r="1948" spans="1:2" x14ac:dyDescent="0.3">
      <c r="A1948" s="3">
        <v>46092</v>
      </c>
      <c r="B1948" s="4">
        <v>860.62</v>
      </c>
    </row>
    <row r="1949" spans="1:2" x14ac:dyDescent="0.3">
      <c r="A1949" s="11">
        <v>46093</v>
      </c>
      <c r="B1949" s="12">
        <v>857.91</v>
      </c>
    </row>
    <row r="1950" spans="1:2" x14ac:dyDescent="0.3">
      <c r="A1950" s="3">
        <v>46094</v>
      </c>
      <c r="B1950" s="4">
        <v>832.88</v>
      </c>
    </row>
    <row r="1951" spans="1:2" x14ac:dyDescent="0.3">
      <c r="A1951" s="11">
        <v>46097</v>
      </c>
      <c r="B1951" s="12">
        <v>831.76</v>
      </c>
    </row>
    <row r="1952" spans="1:2" x14ac:dyDescent="0.3">
      <c r="A1952" s="3">
        <v>46098</v>
      </c>
      <c r="B1952" s="4">
        <v>842.94</v>
      </c>
    </row>
    <row r="1953" spans="1:2" x14ac:dyDescent="0.3">
      <c r="A1953" s="11">
        <v>46099</v>
      </c>
      <c r="B1953" s="12">
        <v>855.58</v>
      </c>
    </row>
    <row r="1954" spans="1:2" x14ac:dyDescent="0.3">
      <c r="A1954" s="3">
        <v>46100</v>
      </c>
      <c r="B1954" s="4">
        <v>829.5</v>
      </c>
    </row>
    <row r="1955" spans="1:2" x14ac:dyDescent="0.3">
      <c r="A1955" s="11">
        <v>46101</v>
      </c>
      <c r="B1955" s="12">
        <v>832.2</v>
      </c>
    </row>
    <row r="1956" spans="1:2" x14ac:dyDescent="0.3">
      <c r="A1956" s="3">
        <v>46104</v>
      </c>
      <c r="B1956" s="4">
        <v>801.45</v>
      </c>
    </row>
    <row r="1957" spans="1:2" x14ac:dyDescent="0.3">
      <c r="A1957" s="11">
        <v>46105</v>
      </c>
      <c r="B1957" s="12">
        <v>817.36</v>
      </c>
    </row>
    <row r="1958" spans="1:2" x14ac:dyDescent="0.3">
      <c r="A1958" s="3">
        <v>46106</v>
      </c>
      <c r="B1958" s="4">
        <v>836.81</v>
      </c>
    </row>
    <row r="1959" spans="1:2" x14ac:dyDescent="0.3">
      <c r="A1959" s="11">
        <v>46108</v>
      </c>
      <c r="B1959" s="12">
        <v>821.28</v>
      </c>
    </row>
    <row r="1960" spans="1:2" x14ac:dyDescent="0.3">
      <c r="A1960" s="3">
        <v>46111</v>
      </c>
      <c r="B1960" s="4">
        <v>802.04</v>
      </c>
    </row>
    <row r="1961" spans="1:2" x14ac:dyDescent="0.3">
      <c r="A1961" s="11">
        <v>46112</v>
      </c>
      <c r="B1961" s="12">
        <v>802.03</v>
      </c>
    </row>
    <row r="1962" spans="1:2" x14ac:dyDescent="0.3">
      <c r="A1962" s="3">
        <v>46113</v>
      </c>
      <c r="B1962" s="4">
        <v>821.7</v>
      </c>
    </row>
    <row r="1963" spans="1:2" x14ac:dyDescent="0.3">
      <c r="A1963" s="11">
        <v>46114</v>
      </c>
      <c r="B1963" s="12">
        <v>820.6</v>
      </c>
    </row>
    <row r="1964" spans="1:2" x14ac:dyDescent="0.3">
      <c r="A1964" s="3">
        <v>46118</v>
      </c>
      <c r="B1964" s="4">
        <v>830.18</v>
      </c>
    </row>
    <row r="1965" spans="1:2" x14ac:dyDescent="0.3">
      <c r="A1965" s="11">
        <v>46119</v>
      </c>
      <c r="B1965" s="12">
        <v>833.27</v>
      </c>
    </row>
    <row r="1966" spans="1:2" x14ac:dyDescent="0.3">
      <c r="A1966" s="3">
        <v>46120</v>
      </c>
      <c r="B1966" s="4">
        <v>867.95</v>
      </c>
    </row>
    <row r="1967" spans="1:2" x14ac:dyDescent="0.3">
      <c r="A1967" s="11">
        <v>46121</v>
      </c>
      <c r="B1967" s="12">
        <v>868.87</v>
      </c>
    </row>
    <row r="1968" spans="1:2" x14ac:dyDescent="0.3">
      <c r="A1968" s="3">
        <v>46122</v>
      </c>
      <c r="B1968" s="4">
        <v>884.59</v>
      </c>
    </row>
    <row r="1969" spans="1:2" x14ac:dyDescent="0.3">
      <c r="A1969" s="11">
        <v>46125</v>
      </c>
      <c r="B1969" s="12">
        <v>880.44</v>
      </c>
    </row>
    <row r="1970" spans="1:2" x14ac:dyDescent="0.3">
      <c r="A1970" s="3">
        <v>46127</v>
      </c>
      <c r="B1970" s="4">
        <v>900.48</v>
      </c>
    </row>
    <row r="1971" spans="1:2" x14ac:dyDescent="0.3">
      <c r="A1971" s="11">
        <v>46128</v>
      </c>
      <c r="B1971" s="12">
        <v>905.82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SWP Calculator</vt:lpstr>
      <vt:lpstr>Fund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Shukla</dc:creator>
  <cp:lastModifiedBy>Tanay Shukla</cp:lastModifiedBy>
  <dcterms:created xsi:type="dcterms:W3CDTF">2026-04-17T08:03:55Z</dcterms:created>
  <dcterms:modified xsi:type="dcterms:W3CDTF">2026-04-17T13:08:22Z</dcterms:modified>
</cp:coreProperties>
</file>